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vult-my.sharepoint.com/personal/jonas_kirkilovskis_mif_stud_vu_lt/Documents/"/>
    </mc:Choice>
  </mc:AlternateContent>
  <xr:revisionPtr revIDLastSave="0" documentId="8_{B8BC0FB3-ACE3-40CC-98D6-38B3E361E5AE}" xr6:coauthVersionLast="47" xr6:coauthVersionMax="47" xr10:uidLastSave="{00000000-0000-0000-0000-000000000000}"/>
  <bookViews>
    <workbookView xWindow="-120" yWindow="-120" windowWidth="29040" windowHeight="16440" xr2:uid="{82A92314-A356-49F2-A7AA-AB44C5729370}"/>
  </bookViews>
  <sheets>
    <sheet name="data" sheetId="2" r:id="rId1"/>
    <sheet name="Sheet1" sheetId="1" r:id="rId2"/>
  </sheets>
  <definedNames>
    <definedName name="_xlnm._FilterDatabase" localSheetId="0" hidden="1">data!$N$3:$N$102</definedName>
    <definedName name="ExternalData_1" localSheetId="0" hidden="1">data!$A$1:$M$103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7" i="2" l="1"/>
  <c r="L112" i="2"/>
  <c r="A6" i="2" a="1"/>
  <c r="A6" i="2" s="1"/>
  <c r="K112" i="2"/>
  <c r="J11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O6" i="2"/>
  <c r="O9" i="2"/>
  <c r="O4" i="2"/>
  <c r="O10" i="2"/>
  <c r="O14" i="2"/>
  <c r="O18" i="2"/>
  <c r="O22" i="2"/>
  <c r="O26" i="2"/>
  <c r="O30" i="2"/>
  <c r="O34" i="2"/>
  <c r="O38" i="2"/>
  <c r="O42" i="2"/>
  <c r="O46" i="2"/>
  <c r="O50" i="2"/>
  <c r="O54" i="2"/>
  <c r="O58" i="2"/>
  <c r="O62" i="2"/>
  <c r="O66" i="2"/>
  <c r="O70" i="2"/>
  <c r="O74" i="2"/>
  <c r="O78" i="2"/>
  <c r="O82" i="2"/>
  <c r="O86" i="2"/>
  <c r="O90" i="2"/>
  <c r="O94" i="2"/>
  <c r="O98" i="2"/>
  <c r="O102" i="2"/>
  <c r="K107" i="2"/>
  <c r="J107" i="2"/>
  <c r="P117" i="2"/>
  <c r="O117" i="2"/>
  <c r="N117" i="2"/>
  <c r="M117" i="2"/>
  <c r="L117" i="2"/>
  <c r="K117" i="2"/>
  <c r="J117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3" i="2"/>
  <c r="K108" i="2" l="1"/>
  <c r="J108" i="2"/>
  <c r="K113" i="2"/>
  <c r="J113" i="2"/>
  <c r="O101" i="2"/>
  <c r="O93" i="2"/>
  <c r="O85" i="2"/>
  <c r="O77" i="2"/>
  <c r="O69" i="2"/>
  <c r="O61" i="2"/>
  <c r="O57" i="2"/>
  <c r="O49" i="2"/>
  <c r="O41" i="2"/>
  <c r="O33" i="2"/>
  <c r="O25" i="2"/>
  <c r="O21" i="2"/>
  <c r="O13" i="2"/>
  <c r="O100" i="2"/>
  <c r="O96" i="2"/>
  <c r="O92" i="2"/>
  <c r="O88" i="2"/>
  <c r="O84" i="2"/>
  <c r="O80" i="2"/>
  <c r="O76" i="2"/>
  <c r="O72" i="2"/>
  <c r="O68" i="2"/>
  <c r="O64" i="2"/>
  <c r="O60" i="2"/>
  <c r="O56" i="2"/>
  <c r="O52" i="2"/>
  <c r="O48" i="2"/>
  <c r="O44" i="2"/>
  <c r="O40" i="2"/>
  <c r="O36" i="2"/>
  <c r="O32" i="2"/>
  <c r="O28" i="2"/>
  <c r="O24" i="2"/>
  <c r="O20" i="2"/>
  <c r="O16" i="2"/>
  <c r="O12" i="2"/>
  <c r="O8" i="2"/>
  <c r="O97" i="2"/>
  <c r="O89" i="2"/>
  <c r="O81" i="2"/>
  <c r="O73" i="2"/>
  <c r="O65" i="2"/>
  <c r="O53" i="2"/>
  <c r="O45" i="2"/>
  <c r="O37" i="2"/>
  <c r="O29" i="2"/>
  <c r="O17" i="2"/>
  <c r="O3" i="2"/>
  <c r="O99" i="2"/>
  <c r="O95" i="2"/>
  <c r="O91" i="2"/>
  <c r="O87" i="2"/>
  <c r="O83" i="2"/>
  <c r="O79" i="2"/>
  <c r="O75" i="2"/>
  <c r="O71" i="2"/>
  <c r="O67" i="2"/>
  <c r="O63" i="2"/>
  <c r="O59" i="2"/>
  <c r="O55" i="2"/>
  <c r="O51" i="2"/>
  <c r="O47" i="2"/>
  <c r="O43" i="2"/>
  <c r="O39" i="2"/>
  <c r="O35" i="2"/>
  <c r="O31" i="2"/>
  <c r="O27" i="2"/>
  <c r="O23" i="2"/>
  <c r="O19" i="2"/>
  <c r="O15" i="2"/>
  <c r="O11" i="2"/>
  <c r="O5" i="2"/>
  <c r="O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33CC6A-3B88-4B95-948D-A6A1DB7BC3A0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<sst xmlns="http://schemas.openxmlformats.org/spreadsheetml/2006/main" count="158" uniqueCount="150">
  <si>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</si>
  <si>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</si>
  <si>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</si>
  <si>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</si>
  <si>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</si>
  <si>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</si>
  <si>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</si>
  <si>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</si>
  <si>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</si>
  <si>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</si>
  <si>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</si>
  <si>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</si>
  <si>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</si>
  <si>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</si>
  <si>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</si>
  <si>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</si>
  <si>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</si>
  <si>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VideoID</t>
  </si>
  <si>
    <t xml:space="preserve"> TotalComments</t>
  </si>
  <si>
    <t xml:space="preserve"> GoodComments</t>
  </si>
  <si>
    <t xml:space="preserve"> TrashComments</t>
  </si>
  <si>
    <t xml:space="preserve"> Glaze</t>
  </si>
  <si>
    <t xml:space="preserve"> ManyEmojis</t>
  </si>
  <si>
    <t xml:space="preserve"> Repetitive</t>
  </si>
  <si>
    <t xml:space="preserve"> Short</t>
  </si>
  <si>
    <t xml:space="preserve"> GoodLikeAvg</t>
  </si>
  <si>
    <t xml:space="preserve"> FlaggedLikeAvg</t>
  </si>
  <si>
    <t xml:space="preserve"> GoodReplyAvg</t>
  </si>
  <si>
    <t xml:space="preserve"> FlaggedReplyAvg</t>
  </si>
  <si>
    <t>Trash comment percentage</t>
  </si>
  <si>
    <t>Average trash percentage</t>
  </si>
  <si>
    <t>Each video's trash %</t>
  </si>
  <si>
    <t>CDF</t>
  </si>
  <si>
    <t>3xLo3rkRsbI</t>
  </si>
  <si>
    <t>ZIxrkpBnPGY</t>
  </si>
  <si>
    <t>En4vNg51NEY</t>
  </si>
  <si>
    <t>wUPdiXuX1pw</t>
  </si>
  <si>
    <t>xXNiFl6Enk0</t>
  </si>
  <si>
    <t>RlUwI0xBf10</t>
  </si>
  <si>
    <t>BJWM1sAIDf4</t>
  </si>
  <si>
    <t>ZaFygKnQ36M</t>
  </si>
  <si>
    <t>Zbrtd_iZ58s</t>
  </si>
  <si>
    <t>nxyXJvpad-A</t>
  </si>
  <si>
    <t>ItoN1Mv-UEY</t>
  </si>
  <si>
    <t>_sWpNWeJtzU</t>
  </si>
  <si>
    <t>FrJS4Nz_5b8</t>
  </si>
  <si>
    <t>3Byum2wHQZw</t>
  </si>
  <si>
    <t>bbMD0dpRTD8</t>
  </si>
  <si>
    <t>obZcEJj5jf8</t>
  </si>
  <si>
    <t>QXejXI2jMRA</t>
  </si>
  <si>
    <t>_d6g2t-fwJM</t>
  </si>
  <si>
    <t>q1temXQ5Zps</t>
  </si>
  <si>
    <t>k4Ggn6sKl3I</t>
  </si>
  <si>
    <t>_4X7eVGRHwU</t>
  </si>
  <si>
    <t>a1ifEyPmRgM</t>
  </si>
  <si>
    <t>KCFDMdjL6xk</t>
  </si>
  <si>
    <t>BZlz-7jiIKE</t>
  </si>
  <si>
    <t>N_9XPssNo5Q</t>
  </si>
  <si>
    <t>2wPsvA8jMzM</t>
  </si>
  <si>
    <t>rshLkT_RDfM</t>
  </si>
  <si>
    <t>O-9Zbm2i79o</t>
  </si>
  <si>
    <t>rfSnY9Ze390</t>
  </si>
  <si>
    <t>fPL0raDqjnI</t>
  </si>
  <si>
    <t>JqsYcWjGR0Q</t>
  </si>
  <si>
    <t>QwyVETJaMj0</t>
  </si>
  <si>
    <t>lcKBWDeE1oI</t>
  </si>
  <si>
    <t>pzxcOsvgZ6s</t>
  </si>
  <si>
    <t>AqWvtyo_EcE</t>
  </si>
  <si>
    <t>Rg0vGYHAK9Y</t>
  </si>
  <si>
    <t>Zj6iOYQ3lRs</t>
  </si>
  <si>
    <t>p-TZKPZ68lU</t>
  </si>
  <si>
    <t>1KxXkKvhpDo</t>
  </si>
  <si>
    <t>EuW2pKwE7-w</t>
  </si>
  <si>
    <t>XfPBTgumDVo</t>
  </si>
  <si>
    <t>yFK68vKOM64</t>
  </si>
  <si>
    <t>IT_3nWn-yNI</t>
  </si>
  <si>
    <t>k5L64HizrUQ</t>
  </si>
  <si>
    <t>KBnJ0m7Wv_0</t>
  </si>
  <si>
    <t>4Zy48l-nz_A</t>
  </si>
  <si>
    <t>CCUIt78z6xY</t>
  </si>
  <si>
    <t>y7EHCxkz2v0</t>
  </si>
  <si>
    <t>vjZyBxt7vmE</t>
  </si>
  <si>
    <t>PkryyS7NH2w</t>
  </si>
  <si>
    <t>lSY-LNAfY-E</t>
  </si>
  <si>
    <t>TxAHf_yqMfs</t>
  </si>
  <si>
    <t>pcxDeT6KA90</t>
  </si>
  <si>
    <t>6cajq70iMzc</t>
  </si>
  <si>
    <t>XnBn9ICi9NQ</t>
  </si>
  <si>
    <t>ZwenrQ4gWd4</t>
  </si>
  <si>
    <t>6_M61cUDCww</t>
  </si>
  <si>
    <t>o_K9T-4baic</t>
  </si>
  <si>
    <t>0sps_UvIiSY</t>
  </si>
  <si>
    <t>wUrdhh6VQgI</t>
  </si>
  <si>
    <t>WcZKWi0d-Cg</t>
  </si>
  <si>
    <t>PP8EMscGjYY</t>
  </si>
  <si>
    <t>bmgHXj-d6_I</t>
  </si>
  <si>
    <t>tminOL8Sh8I</t>
  </si>
  <si>
    <t>REPAj1jw108</t>
  </si>
  <si>
    <t>D4Kho39Vnx4</t>
  </si>
  <si>
    <t>aQeUt1ztIDU</t>
  </si>
  <si>
    <t>xTZaUG4Iwxc</t>
  </si>
  <si>
    <t>ZHftqRBmZjA</t>
  </si>
  <si>
    <t>5NldqLvc8mM</t>
  </si>
  <si>
    <t>s2RqYjYbAac</t>
  </si>
  <si>
    <t>TQQyw6oObQU</t>
  </si>
  <si>
    <t>7uqS6LrCgns</t>
  </si>
  <si>
    <t>wQVKFE90gzc</t>
  </si>
  <si>
    <t>XWwP1YXhdIU</t>
  </si>
  <si>
    <t>UbiweTVESqk</t>
  </si>
  <si>
    <t>lv6QfQxOOYs</t>
  </si>
  <si>
    <t>Uvc6jj4tmwM</t>
  </si>
  <si>
    <t>Wda79tR3rGc</t>
  </si>
  <si>
    <t>EZVUl-ZfMWc</t>
  </si>
  <si>
    <t>HtcAk_JpZDk</t>
  </si>
  <si>
    <t>uqht5ksSg58</t>
  </si>
  <si>
    <t>czEmrWplKrU</t>
  </si>
  <si>
    <t>7LZnY_sscIw</t>
  </si>
  <si>
    <t>NjO0j_BFiVY</t>
  </si>
  <si>
    <t>jHQILhJKMOg</t>
  </si>
  <si>
    <t>ZC7WctxipKg</t>
  </si>
  <si>
    <t>Vpds69butp8</t>
  </si>
  <si>
    <t>P3TxVSAfQOI</t>
  </si>
  <si>
    <t>bYdtx2xSvoc</t>
  </si>
  <si>
    <t>6dFlFLmAas4</t>
  </si>
  <si>
    <t>e7O5fBTR6Hg</t>
  </si>
  <si>
    <t>HjSZT1V2wpc</t>
  </si>
  <si>
    <t>NXyvebi4YMM</t>
  </si>
  <si>
    <t>OqRdZmTJhMY</t>
  </si>
  <si>
    <t>MgZ0imS3qLM</t>
  </si>
  <si>
    <t>rxS9WKGeojU</t>
  </si>
  <si>
    <t>ibboseC3eug</t>
  </si>
  <si>
    <t>iu_hggdXf5E</t>
  </si>
  <si>
    <t>Approved</t>
  </si>
  <si>
    <t>Flagged</t>
  </si>
  <si>
    <t>Approved larger by %</t>
  </si>
  <si>
    <t>Glaze</t>
  </si>
  <si>
    <t>Repetitive</t>
  </si>
  <si>
    <t>Excessive Emojis</t>
  </si>
  <si>
    <t>Short Content</t>
  </si>
  <si>
    <t>Overall Total</t>
  </si>
  <si>
    <t>TotalComments</t>
  </si>
  <si>
    <t>GoodComments</t>
  </si>
  <si>
    <t>TrashComments</t>
  </si>
  <si>
    <t>ManyEmojis</t>
  </si>
  <si>
    <t>Short</t>
  </si>
  <si>
    <t>67😝 😝 😝 😝</t>
  </si>
  <si>
    <t>FlaggedAverageLikes</t>
  </si>
  <si>
    <t>FlaggedAverageReplies</t>
  </si>
  <si>
    <t>AverageLikes</t>
  </si>
  <si>
    <t>AverageReplies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</si>
</sst>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242424"/>
      <name val="Consolas"/>
      <family val="3"/>
    </font>
    <font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9"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Percentage of trash comments</c:v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xVal>
            <c:numRef>
              <c:f>data!$P$3:$P$102</c:f>
              <c:numCache>
                <c:formatCode>General</c:formatCode>
                <c:ptCount val="10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14</c:v>
                </c:pt>
                <c:pt idx="4">
                  <c:v>15</c:v>
                </c:pt>
                <c:pt idx="5">
                  <c:v>15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17</c:v>
                </c:pt>
                <c:pt idx="10">
                  <c:v>17</c:v>
                </c:pt>
                <c:pt idx="11">
                  <c:v>18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22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24</c:v>
                </c:pt>
                <c:pt idx="22">
                  <c:v>24</c:v>
                </c:pt>
                <c:pt idx="23">
                  <c:v>25</c:v>
                </c:pt>
                <c:pt idx="24">
                  <c:v>25</c:v>
                </c:pt>
                <c:pt idx="25">
                  <c:v>26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29</c:v>
                </c:pt>
                <c:pt idx="33">
                  <c:v>29</c:v>
                </c:pt>
                <c:pt idx="34">
                  <c:v>29</c:v>
                </c:pt>
                <c:pt idx="35">
                  <c:v>29</c:v>
                </c:pt>
                <c:pt idx="36">
                  <c:v>29</c:v>
                </c:pt>
                <c:pt idx="37">
                  <c:v>29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33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35</c:v>
                </c:pt>
                <c:pt idx="54">
                  <c:v>35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37</c:v>
                </c:pt>
                <c:pt idx="59">
                  <c:v>37</c:v>
                </c:pt>
                <c:pt idx="60">
                  <c:v>38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42</c:v>
                </c:pt>
                <c:pt idx="67">
                  <c:v>43</c:v>
                </c:pt>
                <c:pt idx="68">
                  <c:v>44</c:v>
                </c:pt>
                <c:pt idx="69">
                  <c:v>44</c:v>
                </c:pt>
                <c:pt idx="70">
                  <c:v>44</c:v>
                </c:pt>
                <c:pt idx="71">
                  <c:v>45</c:v>
                </c:pt>
                <c:pt idx="72">
                  <c:v>46</c:v>
                </c:pt>
                <c:pt idx="73">
                  <c:v>46</c:v>
                </c:pt>
                <c:pt idx="74">
                  <c:v>46</c:v>
                </c:pt>
                <c:pt idx="75">
                  <c:v>46</c:v>
                </c:pt>
                <c:pt idx="76">
                  <c:v>47</c:v>
                </c:pt>
                <c:pt idx="77">
                  <c:v>47</c:v>
                </c:pt>
                <c:pt idx="78">
                  <c:v>50</c:v>
                </c:pt>
                <c:pt idx="79">
                  <c:v>51</c:v>
                </c:pt>
                <c:pt idx="80">
                  <c:v>52</c:v>
                </c:pt>
                <c:pt idx="81">
                  <c:v>53</c:v>
                </c:pt>
                <c:pt idx="82">
                  <c:v>53</c:v>
                </c:pt>
                <c:pt idx="83">
                  <c:v>53</c:v>
                </c:pt>
                <c:pt idx="84">
                  <c:v>54</c:v>
                </c:pt>
                <c:pt idx="85">
                  <c:v>54</c:v>
                </c:pt>
                <c:pt idx="86">
                  <c:v>55</c:v>
                </c:pt>
                <c:pt idx="87">
                  <c:v>55</c:v>
                </c:pt>
                <c:pt idx="88">
                  <c:v>56</c:v>
                </c:pt>
                <c:pt idx="89">
                  <c:v>57</c:v>
                </c:pt>
                <c:pt idx="90">
                  <c:v>64</c:v>
                </c:pt>
                <c:pt idx="91">
                  <c:v>64</c:v>
                </c:pt>
                <c:pt idx="92">
                  <c:v>65</c:v>
                </c:pt>
                <c:pt idx="93">
                  <c:v>65</c:v>
                </c:pt>
                <c:pt idx="94">
                  <c:v>67</c:v>
                </c:pt>
                <c:pt idx="95">
                  <c:v>68</c:v>
                </c:pt>
                <c:pt idx="96">
                  <c:v>71</c:v>
                </c:pt>
                <c:pt idx="97">
                  <c:v>80</c:v>
                </c:pt>
                <c:pt idx="98">
                  <c:v>83</c:v>
                </c:pt>
                <c:pt idx="99">
                  <c:v>85</c:v>
                </c:pt>
              </c:numCache>
            </c:numRef>
          </c:xVal>
          <c:yVal>
            <c:numRef>
              <c:f>data!$Q$3:$Q$102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0.06</c:v>
                </c:pt>
                <c:pt idx="5">
                  <c:v>0.06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  <c:pt idx="9">
                  <c:v>0.11</c:v>
                </c:pt>
                <c:pt idx="10">
                  <c:v>0.11</c:v>
                </c:pt>
                <c:pt idx="11">
                  <c:v>0.12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0.16</c:v>
                </c:pt>
                <c:pt idx="16">
                  <c:v>0.18</c:v>
                </c:pt>
                <c:pt idx="17">
                  <c:v>0.18</c:v>
                </c:pt>
                <c:pt idx="18">
                  <c:v>0.21</c:v>
                </c:pt>
                <c:pt idx="19">
                  <c:v>0.21</c:v>
                </c:pt>
                <c:pt idx="20">
                  <c:v>0.21</c:v>
                </c:pt>
                <c:pt idx="21">
                  <c:v>0.23</c:v>
                </c:pt>
                <c:pt idx="22">
                  <c:v>0.23</c:v>
                </c:pt>
                <c:pt idx="23">
                  <c:v>0.25</c:v>
                </c:pt>
                <c:pt idx="24">
                  <c:v>0.25</c:v>
                </c:pt>
                <c:pt idx="25">
                  <c:v>0.27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0.32</c:v>
                </c:pt>
                <c:pt idx="29">
                  <c:v>0.32</c:v>
                </c:pt>
                <c:pt idx="30">
                  <c:v>0.32</c:v>
                </c:pt>
                <c:pt idx="31">
                  <c:v>0.32</c:v>
                </c:pt>
                <c:pt idx="32">
                  <c:v>0.38</c:v>
                </c:pt>
                <c:pt idx="33">
                  <c:v>0.38</c:v>
                </c:pt>
                <c:pt idx="34">
                  <c:v>0.38</c:v>
                </c:pt>
                <c:pt idx="35">
                  <c:v>0.38</c:v>
                </c:pt>
                <c:pt idx="36">
                  <c:v>0.38</c:v>
                </c:pt>
                <c:pt idx="37">
                  <c:v>0.38</c:v>
                </c:pt>
                <c:pt idx="38">
                  <c:v>0.42</c:v>
                </c:pt>
                <c:pt idx="39">
                  <c:v>0.42</c:v>
                </c:pt>
                <c:pt idx="40">
                  <c:v>0.42</c:v>
                </c:pt>
                <c:pt idx="41">
                  <c:v>0.42</c:v>
                </c:pt>
                <c:pt idx="42">
                  <c:v>0.45</c:v>
                </c:pt>
                <c:pt idx="43">
                  <c:v>0.45</c:v>
                </c:pt>
                <c:pt idx="44">
                  <c:v>0.45</c:v>
                </c:pt>
                <c:pt idx="45">
                  <c:v>0.48</c:v>
                </c:pt>
                <c:pt idx="46">
                  <c:v>0.48</c:v>
                </c:pt>
                <c:pt idx="47">
                  <c:v>0.48</c:v>
                </c:pt>
                <c:pt idx="48">
                  <c:v>0.49</c:v>
                </c:pt>
                <c:pt idx="49">
                  <c:v>0.53</c:v>
                </c:pt>
                <c:pt idx="50">
                  <c:v>0.53</c:v>
                </c:pt>
                <c:pt idx="51">
                  <c:v>0.53</c:v>
                </c:pt>
                <c:pt idx="52">
                  <c:v>0.53</c:v>
                </c:pt>
                <c:pt idx="53">
                  <c:v>0.55000000000000004</c:v>
                </c:pt>
                <c:pt idx="54">
                  <c:v>0.55000000000000004</c:v>
                </c:pt>
                <c:pt idx="55">
                  <c:v>0.57999999999999996</c:v>
                </c:pt>
                <c:pt idx="56">
                  <c:v>0.57999999999999996</c:v>
                </c:pt>
                <c:pt idx="57">
                  <c:v>0.57999999999999996</c:v>
                </c:pt>
                <c:pt idx="58">
                  <c:v>0.6</c:v>
                </c:pt>
                <c:pt idx="59">
                  <c:v>0.6</c:v>
                </c:pt>
                <c:pt idx="60">
                  <c:v>0.61</c:v>
                </c:pt>
                <c:pt idx="61">
                  <c:v>0.66</c:v>
                </c:pt>
                <c:pt idx="62">
                  <c:v>0.66</c:v>
                </c:pt>
                <c:pt idx="63">
                  <c:v>0.66</c:v>
                </c:pt>
                <c:pt idx="64">
                  <c:v>0.66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0.71</c:v>
                </c:pt>
                <c:pt idx="69">
                  <c:v>0.71</c:v>
                </c:pt>
                <c:pt idx="70">
                  <c:v>0.71</c:v>
                </c:pt>
                <c:pt idx="71">
                  <c:v>0.72</c:v>
                </c:pt>
                <c:pt idx="72">
                  <c:v>0.76</c:v>
                </c:pt>
                <c:pt idx="73">
                  <c:v>0.76</c:v>
                </c:pt>
                <c:pt idx="74">
                  <c:v>0.76</c:v>
                </c:pt>
                <c:pt idx="75">
                  <c:v>0.76</c:v>
                </c:pt>
                <c:pt idx="76">
                  <c:v>0.78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0.84</c:v>
                </c:pt>
                <c:pt idx="82">
                  <c:v>0.84</c:v>
                </c:pt>
                <c:pt idx="83">
                  <c:v>0.84</c:v>
                </c:pt>
                <c:pt idx="84">
                  <c:v>0.86</c:v>
                </c:pt>
                <c:pt idx="85">
                  <c:v>0.86</c:v>
                </c:pt>
                <c:pt idx="86">
                  <c:v>0.88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0.92</c:v>
                </c:pt>
                <c:pt idx="91">
                  <c:v>0.92</c:v>
                </c:pt>
                <c:pt idx="92">
                  <c:v>0.94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1E-40D2-8BE0-F93C243FA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10536"/>
        <c:axId val="71744008"/>
      </c:scatterChart>
      <c:valAx>
        <c:axId val="715105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%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4008"/>
        <c:crosses val="autoZero"/>
        <c:crossBetween val="midCat"/>
      </c:valAx>
      <c:valAx>
        <c:axId val="71744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10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Comment</a:t>
            </a:r>
            <a:r>
              <a:rPr lang="en-US" baseline="0"/>
              <a:t> Catagories by Volume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data!$J$116:$P$116</c:f>
              <c:strCache>
                <c:ptCount val="7"/>
                <c:pt idx="0">
                  <c:v>Glaze</c:v>
                </c:pt>
                <c:pt idx="1">
                  <c:v>Repetitive</c:v>
                </c:pt>
                <c:pt idx="2">
                  <c:v>Excessive Emojis</c:v>
                </c:pt>
                <c:pt idx="3">
                  <c:v>Short Content</c:v>
                </c:pt>
                <c:pt idx="4">
                  <c:v>Flagged</c:v>
                </c:pt>
                <c:pt idx="5">
                  <c:v>Approved</c:v>
                </c:pt>
                <c:pt idx="6">
                  <c:v>Overall Total</c:v>
                </c:pt>
              </c:strCache>
            </c:strRef>
          </c:cat>
          <c:val>
            <c:numRef>
              <c:f>data!$J$117:$P$117</c:f>
              <c:numCache>
                <c:formatCode>General</c:formatCode>
                <c:ptCount val="7"/>
                <c:pt idx="0">
                  <c:v>345</c:v>
                </c:pt>
                <c:pt idx="1">
                  <c:v>6405</c:v>
                </c:pt>
                <c:pt idx="2">
                  <c:v>12349</c:v>
                </c:pt>
                <c:pt idx="3">
                  <c:v>16025</c:v>
                </c:pt>
                <c:pt idx="4">
                  <c:v>23862</c:v>
                </c:pt>
                <c:pt idx="5">
                  <c:v>42102</c:v>
                </c:pt>
                <c:pt idx="6">
                  <c:v>65964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9-4949-A89D-53680F465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2"/>
        <c:axId val="1381205520"/>
        <c:axId val="1381204080"/>
      </c:barChart>
      <c:catAx>
        <c:axId val="1381205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04080"/>
        <c:crosses val="autoZero"/>
        <c:auto val="1"/>
        <c:lblAlgn val="ctr"/>
        <c:lblOffset val="100"/>
        <c:noMultiLvlLbl val="0"/>
      </c:catAx>
      <c:valAx>
        <c:axId val="1381204080"/>
        <c:scaling>
          <c:orientation val="minMax"/>
          <c:max val="75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Comments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05520"/>
        <c:crosses val="autoZero"/>
        <c:crossBetween val="between"/>
        <c:majorUnit val="10000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Percentage of trash comments per video</c:v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data!$N$3:$N$102</c:f>
              <c:numCache>
                <c:formatCode>General</c:formatCode>
                <c:ptCount val="100"/>
                <c:pt idx="0">
                  <c:v>50</c:v>
                </c:pt>
                <c:pt idx="1">
                  <c:v>23</c:v>
                </c:pt>
                <c:pt idx="2">
                  <c:v>40</c:v>
                </c:pt>
                <c:pt idx="3">
                  <c:v>65</c:v>
                </c:pt>
                <c:pt idx="4">
                  <c:v>29</c:v>
                </c:pt>
                <c:pt idx="5">
                  <c:v>44</c:v>
                </c:pt>
                <c:pt idx="6">
                  <c:v>40</c:v>
                </c:pt>
                <c:pt idx="7">
                  <c:v>45</c:v>
                </c:pt>
                <c:pt idx="8">
                  <c:v>23</c:v>
                </c:pt>
                <c:pt idx="9">
                  <c:v>52</c:v>
                </c:pt>
                <c:pt idx="10">
                  <c:v>53</c:v>
                </c:pt>
                <c:pt idx="11">
                  <c:v>65</c:v>
                </c:pt>
                <c:pt idx="12">
                  <c:v>68</c:v>
                </c:pt>
                <c:pt idx="13">
                  <c:v>21</c:v>
                </c:pt>
                <c:pt idx="14">
                  <c:v>33</c:v>
                </c:pt>
                <c:pt idx="15">
                  <c:v>83</c:v>
                </c:pt>
                <c:pt idx="16">
                  <c:v>17</c:v>
                </c:pt>
                <c:pt idx="17">
                  <c:v>25</c:v>
                </c:pt>
                <c:pt idx="18">
                  <c:v>37</c:v>
                </c:pt>
                <c:pt idx="19">
                  <c:v>29</c:v>
                </c:pt>
                <c:pt idx="20">
                  <c:v>26</c:v>
                </c:pt>
                <c:pt idx="21">
                  <c:v>24</c:v>
                </c:pt>
                <c:pt idx="22">
                  <c:v>10</c:v>
                </c:pt>
                <c:pt idx="23">
                  <c:v>53</c:v>
                </c:pt>
                <c:pt idx="24">
                  <c:v>29</c:v>
                </c:pt>
                <c:pt idx="25">
                  <c:v>15</c:v>
                </c:pt>
                <c:pt idx="26">
                  <c:v>28</c:v>
                </c:pt>
                <c:pt idx="27">
                  <c:v>55</c:v>
                </c:pt>
                <c:pt idx="28">
                  <c:v>28</c:v>
                </c:pt>
                <c:pt idx="29">
                  <c:v>42</c:v>
                </c:pt>
                <c:pt idx="30">
                  <c:v>16</c:v>
                </c:pt>
                <c:pt idx="31">
                  <c:v>40</c:v>
                </c:pt>
                <c:pt idx="32">
                  <c:v>32</c:v>
                </c:pt>
                <c:pt idx="33">
                  <c:v>53</c:v>
                </c:pt>
                <c:pt idx="34">
                  <c:v>26</c:v>
                </c:pt>
                <c:pt idx="35">
                  <c:v>32</c:v>
                </c:pt>
                <c:pt idx="36">
                  <c:v>25</c:v>
                </c:pt>
                <c:pt idx="37">
                  <c:v>51</c:v>
                </c:pt>
                <c:pt idx="38">
                  <c:v>64</c:v>
                </c:pt>
                <c:pt idx="39">
                  <c:v>34</c:v>
                </c:pt>
                <c:pt idx="40">
                  <c:v>22</c:v>
                </c:pt>
                <c:pt idx="41">
                  <c:v>54</c:v>
                </c:pt>
                <c:pt idx="42">
                  <c:v>37</c:v>
                </c:pt>
                <c:pt idx="43">
                  <c:v>29</c:v>
                </c:pt>
                <c:pt idx="44">
                  <c:v>80</c:v>
                </c:pt>
                <c:pt idx="45">
                  <c:v>43</c:v>
                </c:pt>
                <c:pt idx="46">
                  <c:v>71</c:v>
                </c:pt>
                <c:pt idx="47">
                  <c:v>20</c:v>
                </c:pt>
                <c:pt idx="48">
                  <c:v>40</c:v>
                </c:pt>
                <c:pt idx="49">
                  <c:v>34</c:v>
                </c:pt>
                <c:pt idx="50">
                  <c:v>35</c:v>
                </c:pt>
                <c:pt idx="51">
                  <c:v>28</c:v>
                </c:pt>
                <c:pt idx="52">
                  <c:v>28</c:v>
                </c:pt>
                <c:pt idx="53">
                  <c:v>29</c:v>
                </c:pt>
                <c:pt idx="54">
                  <c:v>44</c:v>
                </c:pt>
                <c:pt idx="55">
                  <c:v>34</c:v>
                </c:pt>
                <c:pt idx="56">
                  <c:v>31</c:v>
                </c:pt>
                <c:pt idx="57">
                  <c:v>22</c:v>
                </c:pt>
                <c:pt idx="58">
                  <c:v>44</c:v>
                </c:pt>
                <c:pt idx="59">
                  <c:v>31</c:v>
                </c:pt>
                <c:pt idx="60">
                  <c:v>64</c:v>
                </c:pt>
                <c:pt idx="61">
                  <c:v>27</c:v>
                </c:pt>
                <c:pt idx="62">
                  <c:v>29</c:v>
                </c:pt>
                <c:pt idx="63">
                  <c:v>14</c:v>
                </c:pt>
                <c:pt idx="64">
                  <c:v>20</c:v>
                </c:pt>
                <c:pt idx="65">
                  <c:v>47</c:v>
                </c:pt>
                <c:pt idx="66">
                  <c:v>30</c:v>
                </c:pt>
                <c:pt idx="67">
                  <c:v>57</c:v>
                </c:pt>
                <c:pt idx="68">
                  <c:v>54</c:v>
                </c:pt>
                <c:pt idx="69">
                  <c:v>40</c:v>
                </c:pt>
                <c:pt idx="70">
                  <c:v>47</c:v>
                </c:pt>
                <c:pt idx="71">
                  <c:v>36</c:v>
                </c:pt>
                <c:pt idx="72">
                  <c:v>67</c:v>
                </c:pt>
                <c:pt idx="73">
                  <c:v>15</c:v>
                </c:pt>
                <c:pt idx="74">
                  <c:v>34</c:v>
                </c:pt>
                <c:pt idx="75">
                  <c:v>11</c:v>
                </c:pt>
                <c:pt idx="76">
                  <c:v>30</c:v>
                </c:pt>
                <c:pt idx="77">
                  <c:v>17</c:v>
                </c:pt>
                <c:pt idx="78">
                  <c:v>12</c:v>
                </c:pt>
                <c:pt idx="79">
                  <c:v>36</c:v>
                </c:pt>
                <c:pt idx="80">
                  <c:v>36</c:v>
                </c:pt>
                <c:pt idx="81">
                  <c:v>30</c:v>
                </c:pt>
                <c:pt idx="82">
                  <c:v>16</c:v>
                </c:pt>
                <c:pt idx="83">
                  <c:v>16</c:v>
                </c:pt>
                <c:pt idx="84">
                  <c:v>32</c:v>
                </c:pt>
                <c:pt idx="85">
                  <c:v>56</c:v>
                </c:pt>
                <c:pt idx="86">
                  <c:v>20</c:v>
                </c:pt>
                <c:pt idx="87">
                  <c:v>46</c:v>
                </c:pt>
                <c:pt idx="88">
                  <c:v>24</c:v>
                </c:pt>
                <c:pt idx="89">
                  <c:v>46</c:v>
                </c:pt>
                <c:pt idx="90">
                  <c:v>35</c:v>
                </c:pt>
                <c:pt idx="91">
                  <c:v>46</c:v>
                </c:pt>
                <c:pt idx="92">
                  <c:v>18</c:v>
                </c:pt>
                <c:pt idx="93">
                  <c:v>85</c:v>
                </c:pt>
                <c:pt idx="94">
                  <c:v>23</c:v>
                </c:pt>
                <c:pt idx="95">
                  <c:v>38</c:v>
                </c:pt>
                <c:pt idx="96">
                  <c:v>31</c:v>
                </c:pt>
                <c:pt idx="97">
                  <c:v>46</c:v>
                </c:pt>
                <c:pt idx="98">
                  <c:v>55</c:v>
                </c:pt>
                <c:pt idx="9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CF-4A2F-B48F-6F22AFF2A4DF}"/>
            </c:ext>
          </c:extLst>
        </c:ser>
        <c:ser>
          <c:idx val="1"/>
          <c:order val="1"/>
          <c:tx>
            <c:v>The Average</c:v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dLbls>
            <c:dLbl>
              <c:idx val="81"/>
              <c:layout>
                <c:manualLayout>
                  <c:x val="-9.8515383317329813E-3"/>
                  <c:y val="-0.23136543978514312"/>
                </c:manualLayout>
              </c:layout>
              <c:numFmt formatCode="0&quot;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B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024881011795355E-2"/>
                      <c:h val="7.15206663567769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E89-4BC9-B749-26C3AFA7ED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B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data!$O$3:$O$102</c:f>
              <c:numCache>
                <c:formatCode>General</c:formatCode>
                <c:ptCount val="100"/>
                <c:pt idx="0">
                  <c:v>36.97</c:v>
                </c:pt>
                <c:pt idx="1">
                  <c:v>36.97</c:v>
                </c:pt>
                <c:pt idx="2">
                  <c:v>36.97</c:v>
                </c:pt>
                <c:pt idx="3">
                  <c:v>36.97</c:v>
                </c:pt>
                <c:pt idx="4">
                  <c:v>36.97</c:v>
                </c:pt>
                <c:pt idx="5">
                  <c:v>36.97</c:v>
                </c:pt>
                <c:pt idx="6">
                  <c:v>36.97</c:v>
                </c:pt>
                <c:pt idx="7">
                  <c:v>36.97</c:v>
                </c:pt>
                <c:pt idx="8">
                  <c:v>36.97</c:v>
                </c:pt>
                <c:pt idx="9">
                  <c:v>36.97</c:v>
                </c:pt>
                <c:pt idx="10">
                  <c:v>36.97</c:v>
                </c:pt>
                <c:pt idx="11">
                  <c:v>36.97</c:v>
                </c:pt>
                <c:pt idx="12">
                  <c:v>36.97</c:v>
                </c:pt>
                <c:pt idx="13">
                  <c:v>36.97</c:v>
                </c:pt>
                <c:pt idx="14">
                  <c:v>36.97</c:v>
                </c:pt>
                <c:pt idx="15">
                  <c:v>36.97</c:v>
                </c:pt>
                <c:pt idx="16">
                  <c:v>36.97</c:v>
                </c:pt>
                <c:pt idx="17">
                  <c:v>36.97</c:v>
                </c:pt>
                <c:pt idx="18">
                  <c:v>36.97</c:v>
                </c:pt>
                <c:pt idx="19">
                  <c:v>36.97</c:v>
                </c:pt>
                <c:pt idx="20">
                  <c:v>36.97</c:v>
                </c:pt>
                <c:pt idx="21">
                  <c:v>36.97</c:v>
                </c:pt>
                <c:pt idx="22">
                  <c:v>36.97</c:v>
                </c:pt>
                <c:pt idx="23">
                  <c:v>36.97</c:v>
                </c:pt>
                <c:pt idx="24">
                  <c:v>36.97</c:v>
                </c:pt>
                <c:pt idx="25">
                  <c:v>36.97</c:v>
                </c:pt>
                <c:pt idx="26">
                  <c:v>36.97</c:v>
                </c:pt>
                <c:pt idx="27">
                  <c:v>36.97</c:v>
                </c:pt>
                <c:pt idx="28">
                  <c:v>36.97</c:v>
                </c:pt>
                <c:pt idx="29">
                  <c:v>36.97</c:v>
                </c:pt>
                <c:pt idx="30">
                  <c:v>36.97</c:v>
                </c:pt>
                <c:pt idx="31">
                  <c:v>36.97</c:v>
                </c:pt>
                <c:pt idx="32">
                  <c:v>36.97</c:v>
                </c:pt>
                <c:pt idx="33">
                  <c:v>36.97</c:v>
                </c:pt>
                <c:pt idx="34">
                  <c:v>36.97</c:v>
                </c:pt>
                <c:pt idx="35">
                  <c:v>36.97</c:v>
                </c:pt>
                <c:pt idx="36">
                  <c:v>36.97</c:v>
                </c:pt>
                <c:pt idx="37">
                  <c:v>36.97</c:v>
                </c:pt>
                <c:pt idx="38">
                  <c:v>36.97</c:v>
                </c:pt>
                <c:pt idx="39">
                  <c:v>36.97</c:v>
                </c:pt>
                <c:pt idx="40">
                  <c:v>36.97</c:v>
                </c:pt>
                <c:pt idx="41">
                  <c:v>36.97</c:v>
                </c:pt>
                <c:pt idx="42">
                  <c:v>36.97</c:v>
                </c:pt>
                <c:pt idx="43">
                  <c:v>36.97</c:v>
                </c:pt>
                <c:pt idx="44">
                  <c:v>36.97</c:v>
                </c:pt>
                <c:pt idx="45">
                  <c:v>36.97</c:v>
                </c:pt>
                <c:pt idx="46">
                  <c:v>36.97</c:v>
                </c:pt>
                <c:pt idx="47">
                  <c:v>36.97</c:v>
                </c:pt>
                <c:pt idx="48">
                  <c:v>36.97</c:v>
                </c:pt>
                <c:pt idx="49">
                  <c:v>36.97</c:v>
                </c:pt>
                <c:pt idx="50">
                  <c:v>36.97</c:v>
                </c:pt>
                <c:pt idx="51">
                  <c:v>36.97</c:v>
                </c:pt>
                <c:pt idx="52">
                  <c:v>36.97</c:v>
                </c:pt>
                <c:pt idx="53">
                  <c:v>36.97</c:v>
                </c:pt>
                <c:pt idx="54">
                  <c:v>36.97</c:v>
                </c:pt>
                <c:pt idx="55">
                  <c:v>36.97</c:v>
                </c:pt>
                <c:pt idx="56">
                  <c:v>36.97</c:v>
                </c:pt>
                <c:pt idx="57">
                  <c:v>36.97</c:v>
                </c:pt>
                <c:pt idx="58">
                  <c:v>36.97</c:v>
                </c:pt>
                <c:pt idx="59">
                  <c:v>36.97</c:v>
                </c:pt>
                <c:pt idx="60">
                  <c:v>36.97</c:v>
                </c:pt>
                <c:pt idx="61">
                  <c:v>36.97</c:v>
                </c:pt>
                <c:pt idx="62">
                  <c:v>36.97</c:v>
                </c:pt>
                <c:pt idx="63">
                  <c:v>36.97</c:v>
                </c:pt>
                <c:pt idx="64">
                  <c:v>36.97</c:v>
                </c:pt>
                <c:pt idx="65">
                  <c:v>36.97</c:v>
                </c:pt>
                <c:pt idx="66">
                  <c:v>36.97</c:v>
                </c:pt>
                <c:pt idx="67">
                  <c:v>36.97</c:v>
                </c:pt>
                <c:pt idx="68">
                  <c:v>36.97</c:v>
                </c:pt>
                <c:pt idx="69">
                  <c:v>36.97</c:v>
                </c:pt>
                <c:pt idx="70">
                  <c:v>36.97</c:v>
                </c:pt>
                <c:pt idx="71">
                  <c:v>36.97</c:v>
                </c:pt>
                <c:pt idx="72">
                  <c:v>36.97</c:v>
                </c:pt>
                <c:pt idx="73">
                  <c:v>36.97</c:v>
                </c:pt>
                <c:pt idx="74">
                  <c:v>36.97</c:v>
                </c:pt>
                <c:pt idx="75">
                  <c:v>36.97</c:v>
                </c:pt>
                <c:pt idx="76">
                  <c:v>36.97</c:v>
                </c:pt>
                <c:pt idx="77">
                  <c:v>36.97</c:v>
                </c:pt>
                <c:pt idx="78">
                  <c:v>36.97</c:v>
                </c:pt>
                <c:pt idx="79">
                  <c:v>36.97</c:v>
                </c:pt>
                <c:pt idx="80">
                  <c:v>36.97</c:v>
                </c:pt>
                <c:pt idx="81">
                  <c:v>36.97</c:v>
                </c:pt>
                <c:pt idx="82">
                  <c:v>36.97</c:v>
                </c:pt>
                <c:pt idx="83">
                  <c:v>36.97</c:v>
                </c:pt>
                <c:pt idx="84">
                  <c:v>36.97</c:v>
                </c:pt>
                <c:pt idx="85">
                  <c:v>36.97</c:v>
                </c:pt>
                <c:pt idx="86">
                  <c:v>36.97</c:v>
                </c:pt>
                <c:pt idx="87">
                  <c:v>36.97</c:v>
                </c:pt>
                <c:pt idx="88">
                  <c:v>36.97</c:v>
                </c:pt>
                <c:pt idx="89">
                  <c:v>36.97</c:v>
                </c:pt>
                <c:pt idx="90">
                  <c:v>36.97</c:v>
                </c:pt>
                <c:pt idx="91">
                  <c:v>36.97</c:v>
                </c:pt>
                <c:pt idx="92">
                  <c:v>36.97</c:v>
                </c:pt>
                <c:pt idx="93">
                  <c:v>36.97</c:v>
                </c:pt>
                <c:pt idx="94">
                  <c:v>36.97</c:v>
                </c:pt>
                <c:pt idx="95">
                  <c:v>36.97</c:v>
                </c:pt>
                <c:pt idx="96">
                  <c:v>36.97</c:v>
                </c:pt>
                <c:pt idx="97">
                  <c:v>36.97</c:v>
                </c:pt>
                <c:pt idx="98">
                  <c:v>36.97</c:v>
                </c:pt>
                <c:pt idx="99">
                  <c:v>36.97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CF-4A2F-B48F-6F22AFF2A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6151816"/>
        <c:axId val="1836171272"/>
      </c:lineChart>
      <c:catAx>
        <c:axId val="183615181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36171272"/>
        <c:crosses val="autoZero"/>
        <c:auto val="1"/>
        <c:lblAlgn val="ctr"/>
        <c:lblOffset val="100"/>
        <c:noMultiLvlLbl val="0"/>
      </c:catAx>
      <c:valAx>
        <c:axId val="18361712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51816"/>
        <c:crosses val="autoZero"/>
        <c:crossBetween val="between"/>
        <c:maj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Likes per</a:t>
            </a:r>
            <a:r>
              <a:rPr lang="en-US" baseline="0"/>
              <a:t> Comment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Comments Average Likes</c:v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data!$J$106:$K$106</c:f>
              <c:strCache>
                <c:ptCount val="2"/>
                <c:pt idx="0">
                  <c:v>Approved</c:v>
                </c:pt>
                <c:pt idx="1">
                  <c:v>Flagged</c:v>
                </c:pt>
              </c:strCache>
            </c:strRef>
          </c:cat>
          <c:val>
            <c:numRef>
              <c:f>data!$J$107:$K$107</c:f>
              <c:numCache>
                <c:formatCode>General</c:formatCode>
                <c:ptCount val="2"/>
                <c:pt idx="0">
                  <c:v>4.3279866067491444</c:v>
                </c:pt>
                <c:pt idx="1">
                  <c:v>1.3068920766490435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B-48F8-9720-021C6D4D6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495568"/>
        <c:axId val="165505648"/>
      </c:barChart>
      <c:lineChart>
        <c:grouping val="standard"/>
        <c:varyColors val="0"/>
        <c:ser>
          <c:idx val="1"/>
          <c:order val="1"/>
          <c:tx>
            <c:v>Overall Average Likes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35-4643-ADE8-10B76D522B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data!$J$106:$K$106</c:f>
              <c:strCache>
                <c:ptCount val="2"/>
                <c:pt idx="0">
                  <c:v>Approved</c:v>
                </c:pt>
                <c:pt idx="1">
                  <c:v>Flagged</c:v>
                </c:pt>
              </c:strCache>
            </c:strRef>
          </c:cat>
          <c:val>
            <c:numRef>
              <c:f>data!$J$108:$K$108</c:f>
              <c:numCache>
                <c:formatCode>General</c:formatCode>
                <c:ptCount val="2"/>
                <c:pt idx="0">
                  <c:v>2.82</c:v>
                </c:pt>
                <c:pt idx="1">
                  <c:v>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BB-48F8-9720-021C6D4D6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95568"/>
        <c:axId val="165505648"/>
      </c:lineChart>
      <c:catAx>
        <c:axId val="16549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05648"/>
        <c:crosses val="autoZero"/>
        <c:auto val="1"/>
        <c:lblAlgn val="ctr"/>
        <c:lblOffset val="100"/>
        <c:noMultiLvlLbl val="0"/>
      </c:catAx>
      <c:valAx>
        <c:axId val="16550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5568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Replies per Comment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Comments Average Replies</c:v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data!$J$111:$K$111</c:f>
              <c:strCache>
                <c:ptCount val="2"/>
                <c:pt idx="0">
                  <c:v>Approved</c:v>
                </c:pt>
                <c:pt idx="1">
                  <c:v>Flagged</c:v>
                </c:pt>
              </c:strCache>
            </c:strRef>
          </c:cat>
          <c:val>
            <c:numRef>
              <c:f>data!$J$112:$K$112</c:f>
              <c:numCache>
                <c:formatCode>General</c:formatCode>
                <c:ptCount val="2"/>
                <c:pt idx="0">
                  <c:v>0.25419649815885015</c:v>
                </c:pt>
                <c:pt idx="1">
                  <c:v>6.7857432167624271E-2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A-4C6C-93C2-2D32F70CD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6191872"/>
        <c:axId val="176170752"/>
      </c:barChart>
      <c:lineChart>
        <c:grouping val="standard"/>
        <c:varyColors val="0"/>
        <c:ser>
          <c:idx val="1"/>
          <c:order val="1"/>
          <c:tx>
            <c:v>Overall Average Replies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F8-4744-A1E4-B62317F73E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data!$J$111:$K$111</c:f>
              <c:strCache>
                <c:ptCount val="2"/>
                <c:pt idx="0">
                  <c:v>Approved</c:v>
                </c:pt>
                <c:pt idx="1">
                  <c:v>Flagged</c:v>
                </c:pt>
              </c:strCache>
            </c:strRef>
          </c:cat>
          <c:val>
            <c:numRef>
              <c:f>data!$J$113:$K$113</c:f>
              <c:numCache>
                <c:formatCode>General</c:formatCode>
                <c:ptCount val="2"/>
                <c:pt idx="0">
                  <c:v>0.16</c:v>
                </c:pt>
                <c:pt idx="1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6A-4C6C-93C2-2D32F70CD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191872"/>
        <c:axId val="176170752"/>
      </c:lineChart>
      <c:catAx>
        <c:axId val="1761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0752"/>
        <c:crosses val="autoZero"/>
        <c:auto val="1"/>
        <c:lblAlgn val="ctr"/>
        <c:lblOffset val="100"/>
        <c:noMultiLvlLbl val="0"/>
      </c:catAx>
      <c:valAx>
        <c:axId val="17617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91872"/>
        <c:crosses val="autoZero"/>
        <c:crossBetween val="between"/>
        <c:majorUnit val="5.000000000000001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2</xdr:row>
      <xdr:rowOff>123825</xdr:rowOff>
    </xdr:from>
    <xdr:to>
      <xdr:col>28</xdr:col>
      <xdr:colOff>590550</xdr:colOff>
      <xdr:row>30</xdr:row>
      <xdr:rowOff>28575</xdr:rowOff>
    </xdr:to>
    <xdr:graphicFrame macro="">
      <xdr:nvGraphicFramePr>
        <xdr:cNvPr id="83" name="Chart 22">
          <a:extLst>
            <a:ext uri="{FF2B5EF4-FFF2-40B4-BE49-F238E27FC236}">
              <a16:creationId xmlns:a16="http://schemas.microsoft.com/office/drawing/2014/main" id="{94BE445E-E1B0-E367-70B0-3436E55D6E5B}"/>
            </a:ext>
            <a:ext uri="{147F2762-F138-4A5C-976F-8EAC2B608ADB}">
              <a16:predDERef xmlns:a16="http://schemas.microsoft.com/office/drawing/2014/main" pred="{847B3BE3-C1AC-C5E9-4021-E262348C6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161925</xdr:colOff>
      <xdr:row>118</xdr:row>
      <xdr:rowOff>104775</xdr:rowOff>
    </xdr:from>
    <xdr:to>
      <xdr:col>12</xdr:col>
      <xdr:colOff>1200150</xdr:colOff>
      <xdr:row>139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98B483-D4D7-8714-AAD7-A20A0414803F}"/>
            </a:ext>
            <a:ext uri="{147F2762-F138-4A5C-976F-8EAC2B608ADB}">
              <a16:predDERef xmlns:a16="http://schemas.microsoft.com/office/drawing/2014/main" pred="{94BE445E-E1B0-E367-70B0-3436E55D6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180975</xdr:colOff>
      <xdr:row>32</xdr:row>
      <xdr:rowOff>114300</xdr:rowOff>
    </xdr:from>
    <xdr:to>
      <xdr:col>29</xdr:col>
      <xdr:colOff>114300</xdr:colOff>
      <xdr:row>58</xdr:row>
      <xdr:rowOff>47625</xdr:rowOff>
    </xdr:to>
    <xdr:graphicFrame macro="">
      <xdr:nvGraphicFramePr>
        <xdr:cNvPr id="11" name="Chart 9">
          <a:extLst>
            <a:ext uri="{FF2B5EF4-FFF2-40B4-BE49-F238E27FC236}">
              <a16:creationId xmlns:a16="http://schemas.microsoft.com/office/drawing/2014/main" id="{A89D1E04-B2DE-24EF-8D40-B84EBD531EF4}"/>
            </a:ext>
            <a:ext uri="{147F2762-F138-4A5C-976F-8EAC2B608ADB}">
              <a16:predDERef xmlns:a16="http://schemas.microsoft.com/office/drawing/2014/main" pred="{5598B483-D4D7-8714-AAD7-A20A04148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950259</xdr:colOff>
      <xdr:row>103</xdr:row>
      <xdr:rowOff>172010</xdr:rowOff>
    </xdr:from>
    <xdr:to>
      <xdr:col>7</xdr:col>
      <xdr:colOff>42583</xdr:colOff>
      <xdr:row>118</xdr:row>
      <xdr:rowOff>57710</xdr:rowOff>
    </xdr:to>
    <xdr:graphicFrame macro="">
      <xdr:nvGraphicFramePr>
        <xdr:cNvPr id="14" name="Chart 68">
          <a:extLst>
            <a:ext uri="{FF2B5EF4-FFF2-40B4-BE49-F238E27FC236}">
              <a16:creationId xmlns:a16="http://schemas.microsoft.com/office/drawing/2014/main" id="{D6876DC2-5566-6631-92BB-131553084742}"/>
            </a:ext>
            <a:ext uri="{147F2762-F138-4A5C-976F-8EAC2B608ADB}">
              <a16:predDERef xmlns:a16="http://schemas.microsoft.com/office/drawing/2014/main" pred="{A89D1E04-B2DE-24EF-8D40-B84EBD531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932330</xdr:colOff>
      <xdr:row>119</xdr:row>
      <xdr:rowOff>16248</xdr:rowOff>
    </xdr:from>
    <xdr:to>
      <xdr:col>7</xdr:col>
      <xdr:colOff>18490</xdr:colOff>
      <xdr:row>133</xdr:row>
      <xdr:rowOff>92448</xdr:rowOff>
    </xdr:to>
    <xdr:graphicFrame macro="">
      <xdr:nvGraphicFramePr>
        <xdr:cNvPr id="15" name="Chart 120">
          <a:extLst>
            <a:ext uri="{FF2B5EF4-FFF2-40B4-BE49-F238E27FC236}">
              <a16:creationId xmlns:a16="http://schemas.microsoft.com/office/drawing/2014/main" id="{5B8D135A-4B23-D037-5526-FB4188ACEB0B}"/>
            </a:ext>
            <a:ext uri="{147F2762-F138-4A5C-976F-8EAC2B608ADB}">
              <a16:predDERef xmlns:a16="http://schemas.microsoft.com/office/drawing/2014/main" pred="{7F33C7D0-7C40-4EB4-AB88-6A2D61076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FAEE60-A7F8-4A0D-A115-06BD05539FF2}" autoFormatId="16" applyNumberFormats="0" applyBorderFormats="0" applyFontFormats="0" applyPatternFormats="0" applyAlignmentFormats="0" applyWidthHeightFormats="0">
  <queryTableRefresh nextId="18" unboundColumnsRight="4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36146-B64C-4002-BDD7-2B01ABBAC93D}" name="data" displayName="data" ref="A1:Q103" tableType="queryTable" totalsRowShown="0" headerRowDxfId="18" dataDxfId="17">
  <autoFilter ref="A1:Q103" xr:uid="{D5736146-B64C-4002-BDD7-2B01ABBAC93D}"/>
  <tableColumns count="17">
    <tableColumn id="1" xr3:uid="{BBBEBA09-FB2D-46E7-A213-CE3AEEAA155C}" uniqueName="1" name="Column1" queryTableFieldId="1" dataDxfId="16"/>
    <tableColumn id="2" xr3:uid="{ACC7F115-C22C-41AB-9279-484C625AE605}" uniqueName="2" name="Column2" queryTableFieldId="2" dataDxfId="15"/>
    <tableColumn id="3" xr3:uid="{691C694F-79BF-4634-B75C-9EA412481023}" uniqueName="3" name="Column3" queryTableFieldId="3" dataDxfId="14"/>
    <tableColumn id="4" xr3:uid="{F27272F4-7055-4FD8-B453-4AABE7626E32}" uniqueName="4" name="Column4" queryTableFieldId="4" dataDxfId="13"/>
    <tableColumn id="5" xr3:uid="{38BC6359-A432-4E25-B0D5-EF6B51278378}" uniqueName="5" name="Column5" queryTableFieldId="5" dataDxfId="12"/>
    <tableColumn id="6" xr3:uid="{A1C6A146-642D-494C-97EA-9AABFE23CF52}" uniqueName="6" name="Column6" queryTableFieldId="6" dataDxfId="11"/>
    <tableColumn id="7" xr3:uid="{33E51603-B395-432D-9A33-88A986DB3D9E}" uniqueName="7" name="Column7" queryTableFieldId="7" dataDxfId="10"/>
    <tableColumn id="8" xr3:uid="{02FA176F-EDB1-461B-84A7-241800AB4ECF}" uniqueName="8" name="Column8" queryTableFieldId="8" dataDxfId="9"/>
    <tableColumn id="9" xr3:uid="{9A0AC1EC-0054-4EC3-8021-C1A50C0CC5F6}" uniqueName="9" name="Column9" queryTableFieldId="9" dataDxfId="8"/>
    <tableColumn id="10" xr3:uid="{1DF19B49-2E35-4289-B364-947AD7DBA306}" uniqueName="10" name="Column10" queryTableFieldId="10" dataDxfId="7"/>
    <tableColumn id="11" xr3:uid="{8F6D3D8F-FC01-4903-A933-A26348ABE67E}" uniqueName="11" name="Column11" queryTableFieldId="11" dataDxfId="6"/>
    <tableColumn id="12" xr3:uid="{2DDD1853-16B4-4FC0-A176-33E48C93FD69}" uniqueName="12" name="Column12" queryTableFieldId="12" dataDxfId="5"/>
    <tableColumn id="13" xr3:uid="{82976186-953A-46A0-996C-847D3701E85C}" uniqueName="13" name="Column13" queryTableFieldId="13" dataDxfId="4"/>
    <tableColumn id="14" xr3:uid="{3B21A51C-3876-48C3-99E9-98694D621043}" uniqueName="14" name="Column14" queryTableFieldId="14" dataDxfId="3"/>
    <tableColumn id="15" xr3:uid="{709CDE63-EAC1-4980-BEF3-290465ACA65D}" uniqueName="15" name="Column15" queryTableFieldId="15" dataDxfId="2"/>
    <tableColumn id="16" xr3:uid="{6A4E8BC4-63F4-4240-AB33-6EF78C9A655C}" uniqueName="16" name="Column16" queryTableFieldId="16" dataDxfId="1"/>
    <tableColumn id="17" xr3:uid="{A9C55C66-E1B6-49CB-8379-46FA5FEF492D}" uniqueName="17" name="Column17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9144B-05B5-4D78-BBA4-F71346A64D84}">
  <dimension ref="A1:Q137"/>
  <sheetViews>
    <sheetView tabSelected="1" topLeftCell="A88" zoomScale="130" zoomScaleNormal="130" workbookViewId="0">
      <selection activeCell="L111" sqref="L111"/>
    </sheetView>
  </sheetViews>
  <sheetFormatPr defaultRowHeight="15"/>
  <cols>
    <col min="1" max="1" width="14.7109375" style="2" bestFit="1" customWidth="1"/>
    <col min="2" max="2" width="15.42578125" style="2" bestFit="1" customWidth="1"/>
    <col min="3" max="3" width="15.7109375" style="2" bestFit="1" customWidth="1"/>
    <col min="4" max="4" width="16" style="2" bestFit="1" customWidth="1"/>
    <col min="5" max="5" width="11.42578125" style="2" bestFit="1" customWidth="1"/>
    <col min="6" max="6" width="12.140625" style="2" bestFit="1" customWidth="1"/>
    <col min="7" max="9" width="11.42578125" style="2" bestFit="1" customWidth="1"/>
    <col min="10" max="10" width="20.28515625" style="2" bestFit="1" customWidth="1"/>
    <col min="11" max="11" width="21.42578125" style="2" bestFit="1" customWidth="1"/>
    <col min="12" max="13" width="22.42578125" style="2" bestFit="1" customWidth="1"/>
    <col min="14" max="14" width="25" style="2" customWidth="1"/>
    <col min="15" max="15" width="25.85546875" style="2" customWidth="1"/>
    <col min="16" max="16" width="23.42578125" style="2" customWidth="1"/>
    <col min="17" max="17" width="22" style="2" customWidth="1"/>
    <col min="18" max="20" width="9.140625" style="2"/>
    <col min="21" max="21" width="6.5703125" style="2" customWidth="1"/>
    <col min="22" max="22" width="10.140625" style="2" customWidth="1"/>
    <col min="23" max="23" width="15.7109375" style="2" bestFit="1" customWidth="1"/>
    <col min="24" max="26" width="9.140625" style="2"/>
    <col min="27" max="27" width="11.42578125" style="2" customWidth="1"/>
    <col min="28" max="31" width="9.140625" style="2"/>
    <col min="32" max="32" width="20.28515625" style="2" customWidth="1"/>
    <col min="33" max="16384" width="9.140625" style="2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67</v>
      </c>
      <c r="J2" s="2" t="s">
        <v>25</v>
      </c>
      <c r="K2" s="2" t="s">
        <v>26</v>
      </c>
      <c r="L2" s="2" t="s">
        <v>27</v>
      </c>
      <c r="M2" s="2" t="s">
        <v>28</v>
      </c>
      <c r="N2" s="4" t="s">
        <v>29</v>
      </c>
      <c r="O2" s="4" t="s">
        <v>30</v>
      </c>
      <c r="P2" s="4" t="s">
        <v>31</v>
      </c>
      <c r="Q2" s="4" t="s">
        <v>32</v>
      </c>
    </row>
    <row r="3" spans="1:17">
      <c r="A3" s="2" t="s">
        <v>33</v>
      </c>
      <c r="B3" s="2">
        <v>449</v>
      </c>
      <c r="C3" s="2">
        <v>224</v>
      </c>
      <c r="D3" s="2">
        <v>225</v>
      </c>
      <c r="E3" s="2">
        <v>1</v>
      </c>
      <c r="F3" s="2">
        <v>135</v>
      </c>
      <c r="G3" s="2">
        <v>44</v>
      </c>
      <c r="H3" s="2">
        <v>169</v>
      </c>
      <c r="I3" s="2">
        <v>29</v>
      </c>
      <c r="J3" s="2">
        <v>1.6964285714285701</v>
      </c>
      <c r="K3" s="2">
        <v>0.73333333333333295</v>
      </c>
      <c r="L3" s="2">
        <v>0.16964285714285701</v>
      </c>
      <c r="M3" s="2">
        <v>7.1111111111111097E-2</v>
      </c>
      <c r="N3" s="4">
        <f>ROUND(D3/B3*100, 0)</f>
        <v>50</v>
      </c>
      <c r="O3" s="5">
        <f>AVERAGE($N$3:$N$102)</f>
        <v>36.97</v>
      </c>
      <c r="P3" s="4">
        <v>10</v>
      </c>
      <c r="Q3" s="4">
        <f>COUNTIF($P$3:$P$102, "&lt;="&amp;P3)/COUNT($P$3:$P$102)</f>
        <v>0.01</v>
      </c>
    </row>
    <row r="4" spans="1:17">
      <c r="A4" s="2" t="s">
        <v>34</v>
      </c>
      <c r="B4" s="2">
        <v>147</v>
      </c>
      <c r="C4" s="2">
        <v>113</v>
      </c>
      <c r="D4" s="2">
        <v>34</v>
      </c>
      <c r="E4" s="2">
        <v>3</v>
      </c>
      <c r="F4" s="2">
        <v>14</v>
      </c>
      <c r="G4" s="2">
        <v>13</v>
      </c>
      <c r="H4" s="2">
        <v>17</v>
      </c>
      <c r="I4" s="2">
        <v>2</v>
      </c>
      <c r="J4" s="2">
        <v>10.557522123893801</v>
      </c>
      <c r="K4" s="2">
        <v>1.20588235294117</v>
      </c>
      <c r="L4" s="2">
        <v>0.44247787610619399</v>
      </c>
      <c r="M4" s="2">
        <v>0</v>
      </c>
      <c r="N4" s="4">
        <f>ROUND(D4/B4*100, 0)</f>
        <v>23</v>
      </c>
      <c r="O4" s="5">
        <f>AVERAGE($N$3:$N$102)</f>
        <v>36.97</v>
      </c>
      <c r="P4" s="4">
        <v>11</v>
      </c>
      <c r="Q4" s="4">
        <f>COUNTIF($P$3:$P$102, "&lt;="&amp;P4)/COUNT($P$3:$P$102)</f>
        <v>0.02</v>
      </c>
    </row>
    <row r="5" spans="1:17">
      <c r="A5" s="2" t="s">
        <v>35</v>
      </c>
      <c r="B5" s="2">
        <v>443</v>
      </c>
      <c r="C5" s="2">
        <v>267</v>
      </c>
      <c r="D5" s="2">
        <v>176</v>
      </c>
      <c r="E5" s="2">
        <v>0</v>
      </c>
      <c r="F5" s="2">
        <v>99</v>
      </c>
      <c r="G5" s="2">
        <v>24</v>
      </c>
      <c r="H5" s="2">
        <v>145</v>
      </c>
      <c r="I5" s="2">
        <v>2</v>
      </c>
      <c r="J5" s="2">
        <v>2.1573033707865101</v>
      </c>
      <c r="K5" s="2">
        <v>0.875</v>
      </c>
      <c r="L5" s="2">
        <v>0.25468164794007397</v>
      </c>
      <c r="M5" s="2">
        <v>1.7045454545454499E-2</v>
      </c>
      <c r="N5" s="4">
        <f>ROUND(D5/B5*100, 0)</f>
        <v>40</v>
      </c>
      <c r="O5" s="5">
        <f>AVERAGE($N$3:$N$102)</f>
        <v>36.97</v>
      </c>
      <c r="P5" s="4">
        <v>12</v>
      </c>
      <c r="Q5" s="4">
        <f>COUNTIF($P$3:$P$102, "&lt;="&amp;P5)/COUNT($P$3:$P$102)</f>
        <v>0.03</v>
      </c>
    </row>
    <row r="6" spans="1:17">
      <c r="A6" s="2" t="e" cm="1">
        <f t="array" aca="1" ref="A6" ca="1">-xic5bJIuQM</f>
        <v>#NAME?</v>
      </c>
      <c r="B6" s="2">
        <v>1000</v>
      </c>
      <c r="C6" s="2">
        <v>351</v>
      </c>
      <c r="D6" s="2">
        <v>649</v>
      </c>
      <c r="E6" s="2">
        <v>0</v>
      </c>
      <c r="F6" s="2">
        <v>491</v>
      </c>
      <c r="G6" s="2">
        <v>134</v>
      </c>
      <c r="H6" s="2">
        <v>475</v>
      </c>
      <c r="I6" s="2">
        <v>1</v>
      </c>
      <c r="J6" s="2">
        <v>0.17948717948717899</v>
      </c>
      <c r="K6" s="2">
        <v>6.7796610169491497E-2</v>
      </c>
      <c r="L6" s="2">
        <v>1.42450142450142E-2</v>
      </c>
      <c r="M6" s="2">
        <v>1.2326656394453E-2</v>
      </c>
      <c r="N6" s="4">
        <f>ROUND(D6/B6*100, 0)</f>
        <v>65</v>
      </c>
      <c r="O6" s="5">
        <f>AVERAGE($N$3:$N$102)</f>
        <v>36.97</v>
      </c>
      <c r="P6" s="4">
        <v>14</v>
      </c>
      <c r="Q6" s="4">
        <f>COUNTIF($P$3:$P$102, "&lt;="&amp;P6)/COUNT($P$3:$P$102)</f>
        <v>0.04</v>
      </c>
    </row>
    <row r="7" spans="1:17">
      <c r="A7" s="2" t="s">
        <v>36</v>
      </c>
      <c r="B7" s="2">
        <v>208</v>
      </c>
      <c r="C7" s="2">
        <v>148</v>
      </c>
      <c r="D7" s="2">
        <v>60</v>
      </c>
      <c r="E7" s="2">
        <v>0</v>
      </c>
      <c r="F7" s="2">
        <v>28</v>
      </c>
      <c r="G7" s="2">
        <v>13</v>
      </c>
      <c r="H7" s="2">
        <v>43</v>
      </c>
      <c r="I7" s="2">
        <v>0</v>
      </c>
      <c r="J7" s="2">
        <v>4.60135135135135</v>
      </c>
      <c r="K7" s="2">
        <v>0.55000000000000004</v>
      </c>
      <c r="L7" s="2">
        <v>0.135135135135135</v>
      </c>
      <c r="M7" s="2">
        <v>6.6666666666666596E-2</v>
      </c>
      <c r="N7" s="4">
        <f>ROUND(D7/B7*100, 0)</f>
        <v>29</v>
      </c>
      <c r="O7" s="5">
        <f>AVERAGE($N$3:$N$102)</f>
        <v>36.97</v>
      </c>
      <c r="P7" s="4">
        <v>15</v>
      </c>
      <c r="Q7" s="4">
        <f>COUNTIF($P$3:$P$102, "&lt;="&amp;P7)/COUNT($P$3:$P$102)</f>
        <v>0.06</v>
      </c>
    </row>
    <row r="8" spans="1:17">
      <c r="A8" s="2" t="s">
        <v>37</v>
      </c>
      <c r="B8" s="2">
        <v>470</v>
      </c>
      <c r="C8" s="2">
        <v>261</v>
      </c>
      <c r="D8" s="2">
        <v>209</v>
      </c>
      <c r="E8" s="2">
        <v>0</v>
      </c>
      <c r="F8" s="2">
        <v>141</v>
      </c>
      <c r="G8" s="2">
        <v>36</v>
      </c>
      <c r="H8" s="2">
        <v>161</v>
      </c>
      <c r="I8" s="2">
        <v>5</v>
      </c>
      <c r="J8" s="2">
        <v>0.85057471264367801</v>
      </c>
      <c r="K8" s="2">
        <v>9.5693779904306206E-2</v>
      </c>
      <c r="L8" s="2">
        <v>0.21839080459770099</v>
      </c>
      <c r="M8" s="2">
        <v>9.5693779904306199E-3</v>
      </c>
      <c r="N8" s="4">
        <f>ROUND(D8/B8*100, 0)</f>
        <v>44</v>
      </c>
      <c r="O8" s="5">
        <f>AVERAGE($N$3:$N$102)</f>
        <v>36.97</v>
      </c>
      <c r="P8" s="4">
        <v>15</v>
      </c>
      <c r="Q8" s="4">
        <f>COUNTIF($P$3:$P$102, "&lt;="&amp;P8)/COUNT($P$3:$P$102)</f>
        <v>0.06</v>
      </c>
    </row>
    <row r="9" spans="1:17">
      <c r="A9" s="2" t="s">
        <v>38</v>
      </c>
      <c r="B9" s="2">
        <v>1000</v>
      </c>
      <c r="C9" s="2">
        <v>604</v>
      </c>
      <c r="D9" s="2">
        <v>396</v>
      </c>
      <c r="E9" s="2">
        <v>4</v>
      </c>
      <c r="F9" s="2">
        <v>198</v>
      </c>
      <c r="G9" s="2">
        <v>127</v>
      </c>
      <c r="H9" s="2">
        <v>245</v>
      </c>
      <c r="I9" s="2">
        <v>3</v>
      </c>
      <c r="J9" s="2">
        <v>7.5430463576158902</v>
      </c>
      <c r="K9" s="2">
        <v>9.0909090909090898E-2</v>
      </c>
      <c r="L9" s="2">
        <v>0.28973509933774799</v>
      </c>
      <c r="M9" s="2">
        <v>1.51515151515151E-2</v>
      </c>
      <c r="N9" s="4">
        <f>ROUND(D9/B9*100, 0)</f>
        <v>40</v>
      </c>
      <c r="O9" s="5">
        <f>AVERAGE($N$3:$N$102)</f>
        <v>36.97</v>
      </c>
      <c r="P9" s="4">
        <v>16</v>
      </c>
      <c r="Q9" s="4">
        <f>COUNTIF($P$3:$P$102, "&lt;="&amp;P9)/COUNT($P$3:$P$102)</f>
        <v>0.09</v>
      </c>
    </row>
    <row r="10" spans="1:17">
      <c r="A10" s="2" t="s">
        <v>39</v>
      </c>
      <c r="B10" s="2">
        <v>166</v>
      </c>
      <c r="C10" s="2">
        <v>91</v>
      </c>
      <c r="D10" s="2">
        <v>75</v>
      </c>
      <c r="E10" s="2">
        <v>0</v>
      </c>
      <c r="F10" s="2">
        <v>60</v>
      </c>
      <c r="G10" s="2">
        <v>9</v>
      </c>
      <c r="H10" s="2">
        <v>61</v>
      </c>
      <c r="I10" s="2">
        <v>3</v>
      </c>
      <c r="J10" s="2">
        <v>2.6483516483516398</v>
      </c>
      <c r="K10" s="2">
        <v>1.96</v>
      </c>
      <c r="L10" s="2">
        <v>0.26373626373626302</v>
      </c>
      <c r="M10" s="2">
        <v>0.08</v>
      </c>
      <c r="N10" s="4">
        <f>ROUND(D10/B10*100, 0)</f>
        <v>45</v>
      </c>
      <c r="O10" s="5">
        <f>AVERAGE($N$3:$N$102)</f>
        <v>36.97</v>
      </c>
      <c r="P10" s="4">
        <v>16</v>
      </c>
      <c r="Q10" s="4">
        <f>COUNTIF($P$3:$P$102, "&lt;="&amp;P10)/COUNT($P$3:$P$102)</f>
        <v>0.09</v>
      </c>
    </row>
    <row r="11" spans="1:17">
      <c r="A11" s="2" t="s">
        <v>40</v>
      </c>
      <c r="B11" s="2">
        <v>1000</v>
      </c>
      <c r="C11" s="2">
        <v>775</v>
      </c>
      <c r="D11" s="2">
        <v>225</v>
      </c>
      <c r="E11" s="2">
        <v>4</v>
      </c>
      <c r="F11" s="2">
        <v>52</v>
      </c>
      <c r="G11" s="2">
        <v>74</v>
      </c>
      <c r="H11" s="2">
        <v>142</v>
      </c>
      <c r="I11" s="2">
        <v>4</v>
      </c>
      <c r="J11" s="2">
        <v>2.1354838709677399</v>
      </c>
      <c r="K11" s="2">
        <v>0.22222222222222199</v>
      </c>
      <c r="L11" s="2">
        <v>0.13677419354838699</v>
      </c>
      <c r="M11" s="2">
        <v>1.7777777777777701E-2</v>
      </c>
      <c r="N11" s="4">
        <f>ROUND(D11/B11*100, 0)</f>
        <v>23</v>
      </c>
      <c r="O11" s="5">
        <f>AVERAGE($N$3:$N$102)</f>
        <v>36.97</v>
      </c>
      <c r="P11" s="4">
        <v>16</v>
      </c>
      <c r="Q11" s="4">
        <f>COUNTIF($P$3:$P$102, "&lt;="&amp;P11)/COUNT($P$3:$P$102)</f>
        <v>0.09</v>
      </c>
    </row>
    <row r="12" spans="1:17">
      <c r="A12" s="2" t="s">
        <v>41</v>
      </c>
      <c r="B12" s="2">
        <v>463</v>
      </c>
      <c r="C12" s="2">
        <v>224</v>
      </c>
      <c r="D12" s="2">
        <v>239</v>
      </c>
      <c r="E12" s="2">
        <v>4</v>
      </c>
      <c r="F12" s="2">
        <v>151</v>
      </c>
      <c r="G12" s="2">
        <v>41</v>
      </c>
      <c r="H12" s="2">
        <v>182</v>
      </c>
      <c r="I12" s="2">
        <v>1</v>
      </c>
      <c r="J12" s="2">
        <v>3.9821428571428501</v>
      </c>
      <c r="K12" s="2">
        <v>2.3682008368200802</v>
      </c>
      <c r="L12" s="2">
        <v>0.23214285714285701</v>
      </c>
      <c r="M12" s="2">
        <v>0.17573221757322099</v>
      </c>
      <c r="N12" s="4">
        <f>ROUND(D12/B12*100, 0)</f>
        <v>52</v>
      </c>
      <c r="O12" s="5">
        <f>AVERAGE($N$3:$N$102)</f>
        <v>36.97</v>
      </c>
      <c r="P12" s="4">
        <v>17</v>
      </c>
      <c r="Q12" s="4">
        <f>COUNTIF($P$3:$P$102, "&lt;="&amp;P12)/COUNT($P$3:$P$102)</f>
        <v>0.11</v>
      </c>
    </row>
    <row r="13" spans="1:17">
      <c r="A13" s="2" t="s">
        <v>42</v>
      </c>
      <c r="B13" s="2">
        <v>1000</v>
      </c>
      <c r="C13" s="2">
        <v>469</v>
      </c>
      <c r="D13" s="2">
        <v>531</v>
      </c>
      <c r="E13" s="2">
        <v>0</v>
      </c>
      <c r="F13" s="2">
        <v>41</v>
      </c>
      <c r="G13" s="2">
        <v>41</v>
      </c>
      <c r="H13" s="2">
        <v>488</v>
      </c>
      <c r="I13" s="2">
        <v>23</v>
      </c>
      <c r="J13" s="2">
        <v>0.25159914712153503</v>
      </c>
      <c r="K13" s="2">
        <v>3.38983050847457E-2</v>
      </c>
      <c r="L13" s="2">
        <v>2.1321961620468999E-2</v>
      </c>
      <c r="M13" s="2">
        <v>3.7664783427495199E-3</v>
      </c>
      <c r="N13" s="4">
        <f>ROUND(D13/B13*100, 0)</f>
        <v>53</v>
      </c>
      <c r="O13" s="5">
        <f>AVERAGE($N$3:$N$102)</f>
        <v>36.97</v>
      </c>
      <c r="P13" s="4">
        <v>17</v>
      </c>
      <c r="Q13" s="4">
        <f>COUNTIF($P$3:$P$102, "&lt;="&amp;P13)/COUNT($P$3:$P$102)</f>
        <v>0.11</v>
      </c>
    </row>
    <row r="14" spans="1:17">
      <c r="A14" s="2" t="s">
        <v>43</v>
      </c>
      <c r="B14" s="2">
        <v>185</v>
      </c>
      <c r="C14" s="2">
        <v>65</v>
      </c>
      <c r="D14" s="2">
        <v>120</v>
      </c>
      <c r="E14" s="2">
        <v>0</v>
      </c>
      <c r="F14" s="2">
        <v>48</v>
      </c>
      <c r="G14" s="2">
        <v>18</v>
      </c>
      <c r="H14" s="2">
        <v>96</v>
      </c>
      <c r="I14" s="2">
        <v>3</v>
      </c>
      <c r="J14" s="2">
        <v>0.47692307692307601</v>
      </c>
      <c r="K14" s="2">
        <v>0.45</v>
      </c>
      <c r="L14" s="2">
        <v>0.123076923076923</v>
      </c>
      <c r="M14" s="2">
        <v>8.3333333333333301E-2</v>
      </c>
      <c r="N14" s="4">
        <f>ROUND(D14/B14*100, 0)</f>
        <v>65</v>
      </c>
      <c r="O14" s="5">
        <f>AVERAGE($N$3:$N$102)</f>
        <v>36.97</v>
      </c>
      <c r="P14" s="4">
        <v>18</v>
      </c>
      <c r="Q14" s="4">
        <f>COUNTIF($P$3:$P$102, "&lt;="&amp;P14)/COUNT($P$3:$P$102)</f>
        <v>0.12</v>
      </c>
    </row>
    <row r="15" spans="1:17">
      <c r="A15" s="2" t="s">
        <v>44</v>
      </c>
      <c r="B15" s="2">
        <v>608</v>
      </c>
      <c r="C15" s="2">
        <v>196</v>
      </c>
      <c r="D15" s="2">
        <v>412</v>
      </c>
      <c r="E15" s="2">
        <v>0</v>
      </c>
      <c r="F15" s="2">
        <v>314</v>
      </c>
      <c r="G15" s="2">
        <v>37</v>
      </c>
      <c r="H15" s="2">
        <v>312</v>
      </c>
      <c r="I15" s="2">
        <v>3</v>
      </c>
      <c r="J15" s="2">
        <v>1.6683673469387701</v>
      </c>
      <c r="K15" s="2">
        <v>0.32281553398058199</v>
      </c>
      <c r="L15" s="2">
        <v>0.48469387755102</v>
      </c>
      <c r="M15" s="2">
        <v>3.1553398058252399E-2</v>
      </c>
      <c r="N15" s="4">
        <f>ROUND(D15/B15*100, 0)</f>
        <v>68</v>
      </c>
      <c r="O15" s="5">
        <f>AVERAGE($N$3:$N$102)</f>
        <v>36.97</v>
      </c>
      <c r="P15" s="4">
        <v>20</v>
      </c>
      <c r="Q15" s="4">
        <f>COUNTIF($P$3:$P$102, "&lt;="&amp;P15)/COUNT($P$3:$P$102)</f>
        <v>0.15</v>
      </c>
    </row>
    <row r="16" spans="1:17">
      <c r="A16" s="2" t="s">
        <v>45</v>
      </c>
      <c r="B16" s="2">
        <v>1000</v>
      </c>
      <c r="C16" s="2">
        <v>791</v>
      </c>
      <c r="D16" s="2">
        <v>209</v>
      </c>
      <c r="E16" s="2">
        <v>1</v>
      </c>
      <c r="F16" s="2">
        <v>72</v>
      </c>
      <c r="G16" s="2">
        <v>100</v>
      </c>
      <c r="H16" s="2">
        <v>103</v>
      </c>
      <c r="I16" s="2">
        <v>2</v>
      </c>
      <c r="J16" s="2">
        <v>0.61567635903919005</v>
      </c>
      <c r="K16" s="2">
        <v>0.34449760765550203</v>
      </c>
      <c r="L16" s="2">
        <v>3.7926675094816599E-2</v>
      </c>
      <c r="M16" s="2">
        <v>1.9138755980861202E-2</v>
      </c>
      <c r="N16" s="4">
        <f>ROUND(D16/B16*100, 0)</f>
        <v>21</v>
      </c>
      <c r="O16" s="5">
        <f>AVERAGE($N$3:$N$102)</f>
        <v>36.97</v>
      </c>
      <c r="P16" s="4">
        <v>20</v>
      </c>
      <c r="Q16" s="4">
        <f>COUNTIF($P$3:$P$102, "&lt;="&amp;P16)/COUNT($P$3:$P$102)</f>
        <v>0.15</v>
      </c>
    </row>
    <row r="17" spans="1:17">
      <c r="A17" s="2" t="s">
        <v>46</v>
      </c>
      <c r="B17" s="2">
        <v>1000</v>
      </c>
      <c r="C17" s="2">
        <v>675</v>
      </c>
      <c r="D17" s="2">
        <v>325</v>
      </c>
      <c r="E17" s="2">
        <v>3</v>
      </c>
      <c r="F17" s="2">
        <v>148</v>
      </c>
      <c r="G17" s="2">
        <v>127</v>
      </c>
      <c r="H17" s="2">
        <v>188</v>
      </c>
      <c r="I17" s="2">
        <v>7</v>
      </c>
      <c r="J17" s="2">
        <v>0.162962962962962</v>
      </c>
      <c r="K17" s="2">
        <v>1.57230769230769</v>
      </c>
      <c r="L17" s="2">
        <v>7.4074074074073999E-3</v>
      </c>
      <c r="M17" s="2">
        <v>1.53846153846153E-2</v>
      </c>
      <c r="N17" s="4">
        <f>ROUND(D17/B17*100, 0)</f>
        <v>33</v>
      </c>
      <c r="O17" s="5">
        <f>AVERAGE($N$3:$N$102)</f>
        <v>36.97</v>
      </c>
      <c r="P17" s="4">
        <v>20</v>
      </c>
      <c r="Q17" s="4">
        <f>COUNTIF($P$3:$P$102, "&lt;="&amp;P17)/COUNT($P$3:$P$102)</f>
        <v>0.15</v>
      </c>
    </row>
    <row r="18" spans="1:17">
      <c r="A18" s="2" t="s">
        <v>47</v>
      </c>
      <c r="B18" s="2">
        <v>1000</v>
      </c>
      <c r="C18" s="2">
        <v>175</v>
      </c>
      <c r="D18" s="2">
        <v>825</v>
      </c>
      <c r="E18" s="2">
        <v>0</v>
      </c>
      <c r="F18" s="2">
        <v>727</v>
      </c>
      <c r="G18" s="2">
        <v>27</v>
      </c>
      <c r="H18" s="2">
        <v>763</v>
      </c>
      <c r="I18" s="2">
        <v>2</v>
      </c>
      <c r="J18" s="2">
        <v>9.71428571428571E-2</v>
      </c>
      <c r="K18" s="2">
        <v>2.4242424242424201E-2</v>
      </c>
      <c r="L18" s="2">
        <v>5.7142857142857099E-3</v>
      </c>
      <c r="M18" s="2">
        <v>2.4242424242424199E-3</v>
      </c>
      <c r="N18" s="4">
        <f>ROUND(D18/B18*100, 0)</f>
        <v>83</v>
      </c>
      <c r="O18" s="5">
        <f>AVERAGE($N$3:$N$102)</f>
        <v>36.97</v>
      </c>
      <c r="P18" s="4">
        <v>21</v>
      </c>
      <c r="Q18" s="4">
        <f>COUNTIF($P$3:$P$102, "&lt;="&amp;P18)/COUNT($P$3:$P$102)</f>
        <v>0.16</v>
      </c>
    </row>
    <row r="19" spans="1:17">
      <c r="A19" s="2" t="s">
        <v>48</v>
      </c>
      <c r="B19" s="2">
        <v>1000</v>
      </c>
      <c r="C19" s="2">
        <v>827</v>
      </c>
      <c r="D19" s="2">
        <v>173</v>
      </c>
      <c r="E19" s="2">
        <v>4</v>
      </c>
      <c r="F19" s="2">
        <v>37</v>
      </c>
      <c r="G19" s="2">
        <v>98</v>
      </c>
      <c r="H19" s="2">
        <v>72</v>
      </c>
      <c r="I19" s="2">
        <v>0</v>
      </c>
      <c r="J19" s="2">
        <v>1.52599758162031</v>
      </c>
      <c r="K19" s="2">
        <v>2.2890173410404602</v>
      </c>
      <c r="L19" s="2">
        <v>2.2974607013301E-2</v>
      </c>
      <c r="M19" s="2">
        <v>1.1560693641618399E-2</v>
      </c>
      <c r="N19" s="4">
        <f>ROUND(D19/B19*100, 0)</f>
        <v>17</v>
      </c>
      <c r="O19" s="5">
        <f>AVERAGE($N$3:$N$102)</f>
        <v>36.97</v>
      </c>
      <c r="P19" s="4">
        <v>22</v>
      </c>
      <c r="Q19" s="4">
        <f>COUNTIF($P$3:$P$102, "&lt;="&amp;P19)/COUNT($P$3:$P$102)</f>
        <v>0.18</v>
      </c>
    </row>
    <row r="20" spans="1:17">
      <c r="A20" s="2" t="s">
        <v>49</v>
      </c>
      <c r="B20" s="2">
        <v>454</v>
      </c>
      <c r="C20" s="2">
        <v>342</v>
      </c>
      <c r="D20" s="2">
        <v>112</v>
      </c>
      <c r="E20" s="2">
        <v>9</v>
      </c>
      <c r="F20" s="2">
        <v>18</v>
      </c>
      <c r="G20" s="2">
        <v>54</v>
      </c>
      <c r="H20" s="2">
        <v>47</v>
      </c>
      <c r="I20" s="2">
        <v>3</v>
      </c>
      <c r="J20" s="2">
        <v>18.868421052631501</v>
      </c>
      <c r="K20" s="2">
        <v>0.59821428571428503</v>
      </c>
      <c r="L20" s="2">
        <v>4.5935672514619803</v>
      </c>
      <c r="M20" s="2">
        <v>9.8214285714285698E-2</v>
      </c>
      <c r="N20" s="4">
        <f>ROUND(D20/B20*100, 0)</f>
        <v>25</v>
      </c>
      <c r="O20" s="5">
        <f>AVERAGE($N$3:$N$102)</f>
        <v>36.97</v>
      </c>
      <c r="P20" s="4">
        <v>22</v>
      </c>
      <c r="Q20" s="4">
        <f>COUNTIF($P$3:$P$102, "&lt;="&amp;P20)/COUNT($P$3:$P$102)</f>
        <v>0.18</v>
      </c>
    </row>
    <row r="21" spans="1:17">
      <c r="A21" s="2" t="s">
        <v>50</v>
      </c>
      <c r="B21" s="2">
        <v>1000</v>
      </c>
      <c r="C21" s="2">
        <v>633</v>
      </c>
      <c r="D21" s="2">
        <v>367</v>
      </c>
      <c r="E21" s="2">
        <v>0</v>
      </c>
      <c r="F21" s="2">
        <v>209</v>
      </c>
      <c r="G21" s="2">
        <v>113</v>
      </c>
      <c r="H21" s="2">
        <v>232</v>
      </c>
      <c r="I21" s="2">
        <v>7</v>
      </c>
      <c r="J21" s="2">
        <v>0.26698262243285897</v>
      </c>
      <c r="K21" s="2">
        <v>0.97002724795640305</v>
      </c>
      <c r="L21" s="2">
        <v>1.42180094786729E-2</v>
      </c>
      <c r="M21" s="2">
        <v>3.5422343324250601E-2</v>
      </c>
      <c r="N21" s="4">
        <f>ROUND(D21/B21*100, 0)</f>
        <v>37</v>
      </c>
      <c r="O21" s="5">
        <f>AVERAGE($N$3:$N$102)</f>
        <v>36.97</v>
      </c>
      <c r="P21" s="4">
        <v>23</v>
      </c>
      <c r="Q21" s="4">
        <f>COUNTIF($P$3:$P$102, "&lt;="&amp;P21)/COUNT($P$3:$P$102)</f>
        <v>0.21</v>
      </c>
    </row>
    <row r="22" spans="1:17">
      <c r="A22" s="2" t="s">
        <v>51</v>
      </c>
      <c r="B22" s="2">
        <v>319</v>
      </c>
      <c r="C22" s="2">
        <v>226</v>
      </c>
      <c r="D22" s="2">
        <v>93</v>
      </c>
      <c r="E22" s="2">
        <v>2</v>
      </c>
      <c r="F22" s="2">
        <v>33</v>
      </c>
      <c r="G22" s="2">
        <v>28</v>
      </c>
      <c r="H22" s="2">
        <v>63</v>
      </c>
      <c r="I22" s="2">
        <v>0</v>
      </c>
      <c r="J22" s="2">
        <v>23.544247787610601</v>
      </c>
      <c r="K22" s="2">
        <v>1.72043010752688</v>
      </c>
      <c r="L22" s="2">
        <v>0.446902654867256</v>
      </c>
      <c r="M22" s="2">
        <v>8.6021505376343996E-2</v>
      </c>
      <c r="N22" s="4">
        <f>ROUND(D22/B22*100, 0)</f>
        <v>29</v>
      </c>
      <c r="O22" s="5">
        <f>AVERAGE($N$3:$N$102)</f>
        <v>36.97</v>
      </c>
      <c r="P22" s="4">
        <v>23</v>
      </c>
      <c r="Q22" s="4">
        <f>COUNTIF($P$3:$P$102, "&lt;="&amp;P22)/COUNT($P$3:$P$102)</f>
        <v>0.21</v>
      </c>
    </row>
    <row r="23" spans="1:17">
      <c r="A23" s="2" t="s">
        <v>52</v>
      </c>
      <c r="B23" s="2">
        <v>441</v>
      </c>
      <c r="C23" s="2">
        <v>328</v>
      </c>
      <c r="D23" s="2">
        <v>113</v>
      </c>
      <c r="E23" s="2">
        <v>1</v>
      </c>
      <c r="F23" s="2">
        <v>54</v>
      </c>
      <c r="G23" s="2">
        <v>37</v>
      </c>
      <c r="H23" s="2">
        <v>59</v>
      </c>
      <c r="I23" s="2">
        <v>2</v>
      </c>
      <c r="J23" s="2">
        <v>1.6310975609756</v>
      </c>
      <c r="K23" s="2">
        <v>1.89380530973451</v>
      </c>
      <c r="L23" s="2">
        <v>0.24695121951219501</v>
      </c>
      <c r="M23" s="2">
        <v>0.75221238938053003</v>
      </c>
      <c r="N23" s="4">
        <f>ROUND(D23/B23*100, 0)</f>
        <v>26</v>
      </c>
      <c r="O23" s="5">
        <f>AVERAGE($N$3:$N$102)</f>
        <v>36.97</v>
      </c>
      <c r="P23" s="4">
        <v>23</v>
      </c>
      <c r="Q23" s="4">
        <f>COUNTIF($P$3:$P$102, "&lt;="&amp;P23)/COUNT($P$3:$P$102)</f>
        <v>0.21</v>
      </c>
    </row>
    <row r="24" spans="1:17">
      <c r="A24" s="2" t="s">
        <v>53</v>
      </c>
      <c r="B24" s="2">
        <v>400</v>
      </c>
      <c r="C24" s="2">
        <v>303</v>
      </c>
      <c r="D24" s="2">
        <v>97</v>
      </c>
      <c r="E24" s="2">
        <v>1</v>
      </c>
      <c r="F24" s="2">
        <v>29</v>
      </c>
      <c r="G24" s="2">
        <v>35</v>
      </c>
      <c r="H24" s="2">
        <v>63</v>
      </c>
      <c r="I24" s="2">
        <v>8</v>
      </c>
      <c r="J24" s="2">
        <v>4.21782178217821</v>
      </c>
      <c r="K24" s="2">
        <v>1.03092783505154E-2</v>
      </c>
      <c r="L24" s="2">
        <v>0.313531353135313</v>
      </c>
      <c r="M24" s="2">
        <v>0</v>
      </c>
      <c r="N24" s="4">
        <f>ROUND(D24/B24*100, 0)</f>
        <v>24</v>
      </c>
      <c r="O24" s="5">
        <f>AVERAGE($N$3:$N$102)</f>
        <v>36.97</v>
      </c>
      <c r="P24" s="4">
        <v>24</v>
      </c>
      <c r="Q24" s="4">
        <f>COUNTIF($P$3:$P$102, "&lt;="&amp;P24)/COUNT($P$3:$P$102)</f>
        <v>0.23</v>
      </c>
    </row>
    <row r="25" spans="1:17">
      <c r="A25" s="2" t="s">
        <v>54</v>
      </c>
      <c r="B25" s="2">
        <v>773</v>
      </c>
      <c r="C25" s="2">
        <v>699</v>
      </c>
      <c r="D25" s="2">
        <v>74</v>
      </c>
      <c r="E25" s="2">
        <v>0</v>
      </c>
      <c r="F25" s="2">
        <v>12</v>
      </c>
      <c r="G25" s="2">
        <v>48</v>
      </c>
      <c r="H25" s="2">
        <v>24</v>
      </c>
      <c r="I25" s="2">
        <v>5</v>
      </c>
      <c r="J25" s="2">
        <v>7.98855507868383</v>
      </c>
      <c r="K25" s="2">
        <v>8.1081081081081002E-2</v>
      </c>
      <c r="L25" s="2">
        <v>0.30042918454935602</v>
      </c>
      <c r="M25" s="2">
        <v>1.35135135135135E-2</v>
      </c>
      <c r="N25" s="4">
        <f>ROUND(D25/B25*100, 0)</f>
        <v>10</v>
      </c>
      <c r="O25" s="5">
        <f>AVERAGE($N$3:$N$102)</f>
        <v>36.97</v>
      </c>
      <c r="P25" s="4">
        <v>24</v>
      </c>
      <c r="Q25" s="4">
        <f>COUNTIF($P$3:$P$102, "&lt;="&amp;P25)/COUNT($P$3:$P$102)</f>
        <v>0.23</v>
      </c>
    </row>
    <row r="26" spans="1:17">
      <c r="A26" s="2" t="s">
        <v>55</v>
      </c>
      <c r="B26" s="2">
        <v>340</v>
      </c>
      <c r="C26" s="2">
        <v>161</v>
      </c>
      <c r="D26" s="2">
        <v>179</v>
      </c>
      <c r="E26" s="2">
        <v>0</v>
      </c>
      <c r="F26" s="2">
        <v>104</v>
      </c>
      <c r="G26" s="2">
        <v>55</v>
      </c>
      <c r="H26" s="2">
        <v>112</v>
      </c>
      <c r="I26" s="2">
        <v>0</v>
      </c>
      <c r="J26" s="2">
        <v>2.2919254658385002</v>
      </c>
      <c r="K26" s="2">
        <v>0.87709497206703901</v>
      </c>
      <c r="L26" s="2">
        <v>0.18633540372670801</v>
      </c>
      <c r="M26" s="2">
        <v>3.3519553072625698E-2</v>
      </c>
      <c r="N26" s="4">
        <f>ROUND(D26/B26*100, 0)</f>
        <v>53</v>
      </c>
      <c r="O26" s="5">
        <f>AVERAGE($N$3:$N$102)</f>
        <v>36.97</v>
      </c>
      <c r="P26" s="4">
        <v>25</v>
      </c>
      <c r="Q26" s="4">
        <f>COUNTIF($P$3:$P$102, "&lt;="&amp;P26)/COUNT($P$3:$P$102)</f>
        <v>0.25</v>
      </c>
    </row>
    <row r="27" spans="1:17">
      <c r="A27" s="2" t="s">
        <v>56</v>
      </c>
      <c r="B27" s="2">
        <v>721</v>
      </c>
      <c r="C27" s="2">
        <v>511</v>
      </c>
      <c r="D27" s="2">
        <v>210</v>
      </c>
      <c r="E27" s="2">
        <v>0</v>
      </c>
      <c r="F27" s="2">
        <v>92</v>
      </c>
      <c r="G27" s="2">
        <v>68</v>
      </c>
      <c r="H27" s="2">
        <v>134</v>
      </c>
      <c r="I27" s="2">
        <v>6</v>
      </c>
      <c r="J27" s="2">
        <v>2.9001956947162402</v>
      </c>
      <c r="K27" s="2">
        <v>0.14761904761904701</v>
      </c>
      <c r="L27" s="2">
        <v>0.34637964774951002</v>
      </c>
      <c r="M27" s="2">
        <v>5.2380952380952299E-2</v>
      </c>
      <c r="N27" s="4">
        <f>ROUND(D27/B27*100, 0)</f>
        <v>29</v>
      </c>
      <c r="O27" s="5">
        <f>AVERAGE($N$3:$N$102)</f>
        <v>36.97</v>
      </c>
      <c r="P27" s="4">
        <v>25</v>
      </c>
      <c r="Q27" s="4">
        <f>COUNTIF($P$3:$P$102, "&lt;="&amp;P27)/COUNT($P$3:$P$102)</f>
        <v>0.25</v>
      </c>
    </row>
    <row r="28" spans="1:17">
      <c r="A28" s="2" t="s">
        <v>57</v>
      </c>
      <c r="B28" s="2">
        <v>251</v>
      </c>
      <c r="C28" s="2">
        <v>214</v>
      </c>
      <c r="D28" s="2">
        <v>37</v>
      </c>
      <c r="E28" s="2">
        <v>1</v>
      </c>
      <c r="F28" s="2">
        <v>11</v>
      </c>
      <c r="G28" s="2">
        <v>17</v>
      </c>
      <c r="H28" s="2">
        <v>19</v>
      </c>
      <c r="I28" s="2">
        <v>2</v>
      </c>
      <c r="J28" s="2">
        <v>3.7056074766355098</v>
      </c>
      <c r="K28" s="2">
        <v>0.32432432432432401</v>
      </c>
      <c r="L28" s="2">
        <v>0.22429906542056</v>
      </c>
      <c r="M28" s="2">
        <v>0.21621621621621601</v>
      </c>
      <c r="N28" s="4">
        <f>ROUND(D28/B28*100, 0)</f>
        <v>15</v>
      </c>
      <c r="O28" s="5">
        <f>AVERAGE($N$3:$N$102)</f>
        <v>36.97</v>
      </c>
      <c r="P28" s="4">
        <v>26</v>
      </c>
      <c r="Q28" s="4">
        <f>COUNTIF($P$3:$P$102, "&lt;="&amp;P28)/COUNT($P$3:$P$102)</f>
        <v>0.27</v>
      </c>
    </row>
    <row r="29" spans="1:17">
      <c r="A29" s="2" t="s">
        <v>58</v>
      </c>
      <c r="B29" s="2">
        <v>473</v>
      </c>
      <c r="C29" s="2">
        <v>341</v>
      </c>
      <c r="D29" s="2">
        <v>132</v>
      </c>
      <c r="E29" s="2">
        <v>0</v>
      </c>
      <c r="F29" s="2">
        <v>59</v>
      </c>
      <c r="G29" s="2">
        <v>49</v>
      </c>
      <c r="H29" s="2">
        <v>79</v>
      </c>
      <c r="I29" s="2">
        <v>17</v>
      </c>
      <c r="J29" s="2">
        <v>1.1818181818181801</v>
      </c>
      <c r="K29" s="2">
        <v>0.30303030303030298</v>
      </c>
      <c r="L29" s="2">
        <v>0.29325513196480901</v>
      </c>
      <c r="M29" s="2">
        <v>0.11363636363636299</v>
      </c>
      <c r="N29" s="4">
        <f>ROUND(D29/B29*100, 0)</f>
        <v>28</v>
      </c>
      <c r="O29" s="5">
        <f>AVERAGE($N$3:$N$102)</f>
        <v>36.97</v>
      </c>
      <c r="P29" s="4">
        <v>26</v>
      </c>
      <c r="Q29" s="4">
        <f>COUNTIF($P$3:$P$102, "&lt;="&amp;P29)/COUNT($P$3:$P$102)</f>
        <v>0.27</v>
      </c>
    </row>
    <row r="30" spans="1:17">
      <c r="A30" s="2" t="s">
        <v>59</v>
      </c>
      <c r="B30" s="2">
        <v>1000</v>
      </c>
      <c r="C30" s="2">
        <v>450</v>
      </c>
      <c r="D30" s="2">
        <v>550</v>
      </c>
      <c r="E30" s="2">
        <v>4</v>
      </c>
      <c r="F30" s="2">
        <v>387</v>
      </c>
      <c r="G30" s="2">
        <v>84</v>
      </c>
      <c r="H30" s="2">
        <v>438</v>
      </c>
      <c r="I30" s="2">
        <v>3</v>
      </c>
      <c r="J30" s="2">
        <v>1.5022222222222199</v>
      </c>
      <c r="K30" s="2">
        <v>0.145454545454545</v>
      </c>
      <c r="L30" s="2">
        <v>0.24666666666666601</v>
      </c>
      <c r="M30" s="2">
        <v>2.1818181818181799E-2</v>
      </c>
      <c r="N30" s="4">
        <f>ROUND(D30/B30*100, 0)</f>
        <v>55</v>
      </c>
      <c r="O30" s="5">
        <f>AVERAGE($N$3:$N$102)</f>
        <v>36.97</v>
      </c>
      <c r="P30" s="4">
        <v>27</v>
      </c>
      <c r="Q30" s="4">
        <f>COUNTIF($P$3:$P$102, "&lt;="&amp;P30)/COUNT($P$3:$P$102)</f>
        <v>0.28000000000000003</v>
      </c>
    </row>
    <row r="31" spans="1:17">
      <c r="A31" s="2" t="s">
        <v>60</v>
      </c>
      <c r="B31" s="2">
        <v>223</v>
      </c>
      <c r="C31" s="2">
        <v>161</v>
      </c>
      <c r="D31" s="2">
        <v>62</v>
      </c>
      <c r="E31" s="2">
        <v>0</v>
      </c>
      <c r="F31" s="2">
        <v>24</v>
      </c>
      <c r="G31" s="2">
        <v>21</v>
      </c>
      <c r="H31" s="2">
        <v>39</v>
      </c>
      <c r="I31" s="2">
        <v>0</v>
      </c>
      <c r="J31" s="2">
        <v>0.93788819875776397</v>
      </c>
      <c r="K31" s="2">
        <v>0.112903225806451</v>
      </c>
      <c r="L31" s="2">
        <v>0.12422360248447201</v>
      </c>
      <c r="M31" s="2">
        <v>0</v>
      </c>
      <c r="N31" s="4">
        <f>ROUND(D31/B31*100, 0)</f>
        <v>28</v>
      </c>
      <c r="O31" s="5">
        <f>AVERAGE($N$3:$N$102)</f>
        <v>36.97</v>
      </c>
      <c r="P31" s="4">
        <v>28</v>
      </c>
      <c r="Q31" s="4">
        <f>COUNTIF($P$3:$P$102, "&lt;="&amp;P31)/COUNT($P$3:$P$102)</f>
        <v>0.32</v>
      </c>
    </row>
    <row r="32" spans="1:17">
      <c r="A32" s="2" t="s">
        <v>61</v>
      </c>
      <c r="B32" s="2">
        <v>242</v>
      </c>
      <c r="C32" s="2">
        <v>141</v>
      </c>
      <c r="D32" s="2">
        <v>101</v>
      </c>
      <c r="E32" s="2">
        <v>0</v>
      </c>
      <c r="F32" s="2">
        <v>21</v>
      </c>
      <c r="G32" s="2">
        <v>32</v>
      </c>
      <c r="H32" s="2">
        <v>59</v>
      </c>
      <c r="I32" s="2">
        <v>40</v>
      </c>
      <c r="J32" s="2">
        <v>1.0638297872340401</v>
      </c>
      <c r="K32" s="2">
        <v>0.118811881188118</v>
      </c>
      <c r="L32" s="2">
        <v>1.43971631205673</v>
      </c>
      <c r="M32" s="2">
        <v>7.9207920792079195E-2</v>
      </c>
      <c r="N32" s="4">
        <f>ROUND(D32/B32*100, 0)</f>
        <v>42</v>
      </c>
      <c r="O32" s="5">
        <f>AVERAGE($N$3:$N$102)</f>
        <v>36.97</v>
      </c>
      <c r="P32" s="4">
        <v>28</v>
      </c>
      <c r="Q32" s="4">
        <f>COUNTIF($P$3:$P$102, "&lt;="&amp;P32)/COUNT($P$3:$P$102)</f>
        <v>0.32</v>
      </c>
    </row>
    <row r="33" spans="1:17">
      <c r="A33" s="2" t="s">
        <v>62</v>
      </c>
      <c r="B33" s="2">
        <v>1000</v>
      </c>
      <c r="C33" s="2">
        <v>839</v>
      </c>
      <c r="D33" s="2">
        <v>161</v>
      </c>
      <c r="E33" s="2">
        <v>1</v>
      </c>
      <c r="F33" s="2">
        <v>35</v>
      </c>
      <c r="G33" s="2">
        <v>60</v>
      </c>
      <c r="H33" s="2">
        <v>94</v>
      </c>
      <c r="I33" s="2">
        <v>46</v>
      </c>
      <c r="J33" s="2">
        <v>2.0441001191895101</v>
      </c>
      <c r="K33" s="2">
        <v>1.39751552795031</v>
      </c>
      <c r="L33" s="2">
        <v>7.7473182359952306E-2</v>
      </c>
      <c r="M33" s="2">
        <v>3.7267080745341602E-2</v>
      </c>
      <c r="N33" s="4">
        <f>ROUND(D33/B33*100, 0)</f>
        <v>16</v>
      </c>
      <c r="O33" s="5">
        <f>AVERAGE($N$3:$N$102)</f>
        <v>36.97</v>
      </c>
      <c r="P33" s="4">
        <v>28</v>
      </c>
      <c r="Q33" s="4">
        <f>COUNTIF($P$3:$P$102, "&lt;="&amp;P33)/COUNT($P$3:$P$102)</f>
        <v>0.32</v>
      </c>
    </row>
    <row r="34" spans="1:17">
      <c r="A34" s="2" t="s">
        <v>63</v>
      </c>
      <c r="B34" s="2">
        <v>258</v>
      </c>
      <c r="C34" s="2">
        <v>155</v>
      </c>
      <c r="D34" s="2">
        <v>103</v>
      </c>
      <c r="E34" s="2">
        <v>0</v>
      </c>
      <c r="F34" s="2">
        <v>40</v>
      </c>
      <c r="G34" s="2">
        <v>26</v>
      </c>
      <c r="H34" s="2">
        <v>81</v>
      </c>
      <c r="I34" s="2">
        <v>5</v>
      </c>
      <c r="J34" s="2">
        <v>7.7290322580645103</v>
      </c>
      <c r="K34" s="2">
        <v>0.495145631067961</v>
      </c>
      <c r="L34" s="2">
        <v>0.238709677419354</v>
      </c>
      <c r="M34" s="2">
        <v>1.94174757281553E-2</v>
      </c>
      <c r="N34" s="4">
        <f>ROUND(D34/B34*100, 0)</f>
        <v>40</v>
      </c>
      <c r="O34" s="5">
        <f>AVERAGE($N$3:$N$102)</f>
        <v>36.97</v>
      </c>
      <c r="P34" s="4">
        <v>28</v>
      </c>
      <c r="Q34" s="4">
        <f>COUNTIF($P$3:$P$102, "&lt;="&amp;P34)/COUNT($P$3:$P$102)</f>
        <v>0.32</v>
      </c>
    </row>
    <row r="35" spans="1:17">
      <c r="A35" s="2" t="s">
        <v>64</v>
      </c>
      <c r="B35" s="2">
        <v>1000</v>
      </c>
      <c r="C35" s="2">
        <v>685</v>
      </c>
      <c r="D35" s="2">
        <v>315</v>
      </c>
      <c r="E35" s="2">
        <v>1</v>
      </c>
      <c r="F35" s="2">
        <v>126</v>
      </c>
      <c r="G35" s="2">
        <v>152</v>
      </c>
      <c r="H35" s="2">
        <v>149</v>
      </c>
      <c r="I35" s="2">
        <v>3</v>
      </c>
      <c r="J35" s="2">
        <v>3.7956204379562E-2</v>
      </c>
      <c r="K35" s="2">
        <v>1.1047619047618999</v>
      </c>
      <c r="L35" s="2">
        <v>1.4598540145985401E-3</v>
      </c>
      <c r="M35" s="2">
        <v>6.3492063492063397E-3</v>
      </c>
      <c r="N35" s="4">
        <f>ROUND(D35/B35*100, 0)</f>
        <v>32</v>
      </c>
      <c r="O35" s="5">
        <f>AVERAGE($N$3:$N$102)</f>
        <v>36.97</v>
      </c>
      <c r="P35" s="4">
        <v>29</v>
      </c>
      <c r="Q35" s="4">
        <f>COUNTIF($P$3:$P$102, "&lt;="&amp;P35)/COUNT($P$3:$P$102)</f>
        <v>0.38</v>
      </c>
    </row>
    <row r="36" spans="1:17">
      <c r="A36" s="2" t="s">
        <v>65</v>
      </c>
      <c r="B36" s="2">
        <v>1000</v>
      </c>
      <c r="C36" s="2">
        <v>468</v>
      </c>
      <c r="D36" s="2">
        <v>532</v>
      </c>
      <c r="E36" s="2">
        <v>0</v>
      </c>
      <c r="F36" s="2">
        <v>344</v>
      </c>
      <c r="G36" s="2">
        <v>44</v>
      </c>
      <c r="H36" s="2">
        <v>451</v>
      </c>
      <c r="I36" s="2">
        <v>0</v>
      </c>
      <c r="J36" s="2">
        <v>0.96367521367521303</v>
      </c>
      <c r="K36" s="2">
        <v>4.8872180451127803E-2</v>
      </c>
      <c r="L36" s="2">
        <v>4.4871794871794803E-2</v>
      </c>
      <c r="M36" s="2">
        <v>9.3984962406014998E-3</v>
      </c>
      <c r="N36" s="4">
        <f>ROUND(D36/B36*100, 0)</f>
        <v>53</v>
      </c>
      <c r="O36" s="5">
        <f>AVERAGE($N$3:$N$102)</f>
        <v>36.97</v>
      </c>
      <c r="P36" s="4">
        <v>29</v>
      </c>
      <c r="Q36" s="4">
        <f>COUNTIF($P$3:$P$102, "&lt;="&amp;P36)/COUNT($P$3:$P$102)</f>
        <v>0.38</v>
      </c>
    </row>
    <row r="37" spans="1:17">
      <c r="A37" s="2" t="s">
        <v>66</v>
      </c>
      <c r="B37" s="2">
        <v>1000</v>
      </c>
      <c r="C37" s="2">
        <v>740</v>
      </c>
      <c r="D37" s="2">
        <v>260</v>
      </c>
      <c r="E37" s="2">
        <v>0</v>
      </c>
      <c r="F37" s="2">
        <v>48</v>
      </c>
      <c r="G37" s="2">
        <v>71</v>
      </c>
      <c r="H37" s="2">
        <v>178</v>
      </c>
      <c r="I37" s="2">
        <v>12</v>
      </c>
      <c r="J37" s="2">
        <v>1.2675675675675599</v>
      </c>
      <c r="K37" s="2">
        <v>7.69230769230769E-2</v>
      </c>
      <c r="L37" s="2">
        <v>0.132432432432432</v>
      </c>
      <c r="M37" s="2">
        <v>3.8461538461538399E-3</v>
      </c>
      <c r="N37" s="4">
        <f>ROUND(D37/B37*100, 0)</f>
        <v>26</v>
      </c>
      <c r="O37" s="5">
        <f>AVERAGE($N$3:$N$102)</f>
        <v>36.97</v>
      </c>
      <c r="P37" s="4">
        <v>29</v>
      </c>
      <c r="Q37" s="4">
        <f>COUNTIF($P$3:$P$102, "&lt;="&amp;P37)/COUNT($P$3:$P$102)</f>
        <v>0.38</v>
      </c>
    </row>
    <row r="38" spans="1:17">
      <c r="A38" s="2" t="s">
        <v>67</v>
      </c>
      <c r="B38" s="2">
        <v>1000</v>
      </c>
      <c r="C38" s="2">
        <v>678</v>
      </c>
      <c r="D38" s="2">
        <v>322</v>
      </c>
      <c r="E38" s="2">
        <v>1</v>
      </c>
      <c r="F38" s="2">
        <v>153</v>
      </c>
      <c r="G38" s="2">
        <v>101</v>
      </c>
      <c r="H38" s="2">
        <v>216</v>
      </c>
      <c r="I38" s="2">
        <v>2</v>
      </c>
      <c r="J38" s="2">
        <v>1.3834808259586999</v>
      </c>
      <c r="K38" s="2">
        <v>6.8322981366459604E-2</v>
      </c>
      <c r="L38" s="2">
        <v>4.71976401179941E-2</v>
      </c>
      <c r="M38" s="2">
        <v>2.4844720496894401E-2</v>
      </c>
      <c r="N38" s="4">
        <f>ROUND(D38/B38*100, 0)</f>
        <v>32</v>
      </c>
      <c r="O38" s="5">
        <f>AVERAGE($N$3:$N$102)</f>
        <v>36.97</v>
      </c>
      <c r="P38" s="4">
        <v>29</v>
      </c>
      <c r="Q38" s="4">
        <f>COUNTIF($P$3:$P$102, "&lt;="&amp;P38)/COUNT($P$3:$P$102)</f>
        <v>0.38</v>
      </c>
    </row>
    <row r="39" spans="1:17">
      <c r="A39" s="2" t="s">
        <v>68</v>
      </c>
      <c r="B39" s="2">
        <v>1000</v>
      </c>
      <c r="C39" s="2">
        <v>746</v>
      </c>
      <c r="D39" s="2">
        <v>254</v>
      </c>
      <c r="E39" s="2">
        <v>5</v>
      </c>
      <c r="F39" s="2">
        <v>110</v>
      </c>
      <c r="G39" s="2">
        <v>87</v>
      </c>
      <c r="H39" s="2">
        <v>154</v>
      </c>
      <c r="I39" s="2">
        <v>7</v>
      </c>
      <c r="J39" s="2">
        <v>8.5254691689008002</v>
      </c>
      <c r="K39" s="2">
        <v>0.157480314960629</v>
      </c>
      <c r="L39" s="2">
        <v>0.109919571045576</v>
      </c>
      <c r="M39" s="2">
        <v>1.5748031496062902E-2</v>
      </c>
      <c r="N39" s="4">
        <f>ROUND(D39/B39*100, 0)</f>
        <v>25</v>
      </c>
      <c r="O39" s="5">
        <f>AVERAGE($N$3:$N$102)</f>
        <v>36.97</v>
      </c>
      <c r="P39" s="4">
        <v>29</v>
      </c>
      <c r="Q39" s="4">
        <f>COUNTIF($P$3:$P$102, "&lt;="&amp;P39)/COUNT($P$3:$P$102)</f>
        <v>0.38</v>
      </c>
    </row>
    <row r="40" spans="1:17">
      <c r="A40" s="2" t="s">
        <v>69</v>
      </c>
      <c r="B40" s="2">
        <v>1000</v>
      </c>
      <c r="C40" s="2">
        <v>493</v>
      </c>
      <c r="D40" s="2">
        <v>507</v>
      </c>
      <c r="E40" s="2">
        <v>1</v>
      </c>
      <c r="F40" s="2">
        <v>434</v>
      </c>
      <c r="G40" s="2">
        <v>52</v>
      </c>
      <c r="H40" s="2">
        <v>407</v>
      </c>
      <c r="I40" s="2">
        <v>0</v>
      </c>
      <c r="J40" s="2">
        <v>0.180527383367139</v>
      </c>
      <c r="K40" s="2">
        <v>5.7199211045364802E-2</v>
      </c>
      <c r="L40" s="2">
        <v>2.0283975659229202E-2</v>
      </c>
      <c r="M40" s="2">
        <v>1.3806706114398401E-2</v>
      </c>
      <c r="N40" s="4">
        <f>ROUND(D40/B40*100, 0)</f>
        <v>51</v>
      </c>
      <c r="O40" s="5">
        <f>AVERAGE($N$3:$N$102)</f>
        <v>36.97</v>
      </c>
      <c r="P40" s="4">
        <v>29</v>
      </c>
      <c r="Q40" s="4">
        <f>COUNTIF($P$3:$P$102, "&lt;="&amp;P40)/COUNT($P$3:$P$102)</f>
        <v>0.38</v>
      </c>
    </row>
    <row r="41" spans="1:17">
      <c r="A41" s="2" t="s">
        <v>70</v>
      </c>
      <c r="B41" s="2">
        <v>1000</v>
      </c>
      <c r="C41" s="2">
        <v>356</v>
      </c>
      <c r="D41" s="2">
        <v>644</v>
      </c>
      <c r="E41" s="2">
        <v>151</v>
      </c>
      <c r="F41" s="2">
        <v>352</v>
      </c>
      <c r="G41" s="2">
        <v>119</v>
      </c>
      <c r="H41" s="2">
        <v>373</v>
      </c>
      <c r="I41" s="2">
        <v>0</v>
      </c>
      <c r="J41" s="2">
        <v>5.8988764044943798E-2</v>
      </c>
      <c r="K41" s="2">
        <v>0.13354037267080701</v>
      </c>
      <c r="L41" s="2">
        <v>5.6179775280898797E-3</v>
      </c>
      <c r="M41" s="2">
        <v>2.1739130434782601E-2</v>
      </c>
      <c r="N41" s="4">
        <f>ROUND(D41/B41*100, 0)</f>
        <v>64</v>
      </c>
      <c r="O41" s="5">
        <f>AVERAGE($N$3:$N$102)</f>
        <v>36.97</v>
      </c>
      <c r="P41" s="4">
        <v>30</v>
      </c>
      <c r="Q41" s="4">
        <f>COUNTIF($P$3:$P$102, "&lt;="&amp;P41)/COUNT($P$3:$P$102)</f>
        <v>0.42</v>
      </c>
    </row>
    <row r="42" spans="1:17">
      <c r="A42" s="2" t="s">
        <v>71</v>
      </c>
      <c r="B42" s="2">
        <v>625</v>
      </c>
      <c r="C42" s="2">
        <v>411</v>
      </c>
      <c r="D42" s="2">
        <v>214</v>
      </c>
      <c r="E42" s="2">
        <v>11</v>
      </c>
      <c r="F42" s="2">
        <v>96</v>
      </c>
      <c r="G42" s="2">
        <v>67</v>
      </c>
      <c r="H42" s="2">
        <v>132</v>
      </c>
      <c r="I42" s="2">
        <v>5</v>
      </c>
      <c r="J42" s="2">
        <v>4.7858880778588802</v>
      </c>
      <c r="K42" s="2">
        <v>1.16355140186915</v>
      </c>
      <c r="L42" s="2">
        <v>0.39659367396593598</v>
      </c>
      <c r="M42" s="2">
        <v>5.6074766355140103E-2</v>
      </c>
      <c r="N42" s="4">
        <f>ROUND(D42/B42*100, 0)</f>
        <v>34</v>
      </c>
      <c r="O42" s="5">
        <f>AVERAGE($N$3:$N$102)</f>
        <v>36.97</v>
      </c>
      <c r="P42" s="4">
        <v>30</v>
      </c>
      <c r="Q42" s="4">
        <f>COUNTIF($P$3:$P$102, "&lt;="&amp;P42)/COUNT($P$3:$P$102)</f>
        <v>0.42</v>
      </c>
    </row>
    <row r="43" spans="1:17">
      <c r="A43" s="2" t="s">
        <v>72</v>
      </c>
      <c r="B43" s="2">
        <v>775</v>
      </c>
      <c r="C43" s="2">
        <v>604</v>
      </c>
      <c r="D43" s="2">
        <v>171</v>
      </c>
      <c r="E43" s="2">
        <v>1</v>
      </c>
      <c r="F43" s="2">
        <v>86</v>
      </c>
      <c r="G43" s="2">
        <v>58</v>
      </c>
      <c r="H43" s="2">
        <v>103</v>
      </c>
      <c r="I43" s="2">
        <v>3</v>
      </c>
      <c r="J43" s="2">
        <v>4.3178807947019804</v>
      </c>
      <c r="K43" s="2">
        <v>0.99415204678362501</v>
      </c>
      <c r="L43" s="2">
        <v>0.23675496688741701</v>
      </c>
      <c r="M43" s="2">
        <v>0.175438596491228</v>
      </c>
      <c r="N43" s="4">
        <f>ROUND(D43/B43*100, 0)</f>
        <v>22</v>
      </c>
      <c r="O43" s="5">
        <f>AVERAGE($N$3:$N$102)</f>
        <v>36.97</v>
      </c>
      <c r="P43" s="4">
        <v>30</v>
      </c>
      <c r="Q43" s="4">
        <f>COUNTIF($P$3:$P$102, "&lt;="&amp;P43)/COUNT($P$3:$P$102)</f>
        <v>0.42</v>
      </c>
    </row>
    <row r="44" spans="1:17">
      <c r="A44" s="2" t="s">
        <v>73</v>
      </c>
      <c r="B44" s="2">
        <v>377</v>
      </c>
      <c r="C44" s="2">
        <v>175</v>
      </c>
      <c r="D44" s="2">
        <v>202</v>
      </c>
      <c r="E44" s="2">
        <v>0</v>
      </c>
      <c r="F44" s="2">
        <v>128</v>
      </c>
      <c r="G44" s="2">
        <v>33</v>
      </c>
      <c r="H44" s="2">
        <v>159</v>
      </c>
      <c r="I44" s="2">
        <v>2</v>
      </c>
      <c r="J44" s="2">
        <v>5.36</v>
      </c>
      <c r="K44" s="2">
        <v>1.1930693069306899</v>
      </c>
      <c r="L44" s="2">
        <v>0.39428571428571402</v>
      </c>
      <c r="M44" s="2">
        <v>8.4158415841584094E-2</v>
      </c>
      <c r="N44" s="4">
        <f>ROUND(D44/B44*100, 0)</f>
        <v>54</v>
      </c>
      <c r="O44" s="5">
        <f>AVERAGE($N$3:$N$102)</f>
        <v>36.97</v>
      </c>
      <c r="P44" s="4">
        <v>30</v>
      </c>
      <c r="Q44" s="4">
        <f>COUNTIF($P$3:$P$102, "&lt;="&amp;P44)/COUNT($P$3:$P$102)</f>
        <v>0.42</v>
      </c>
    </row>
    <row r="45" spans="1:17">
      <c r="A45" s="2" t="s">
        <v>74</v>
      </c>
      <c r="B45" s="2">
        <v>1000</v>
      </c>
      <c r="C45" s="2">
        <v>626</v>
      </c>
      <c r="D45" s="2">
        <v>374</v>
      </c>
      <c r="E45" s="2">
        <v>0</v>
      </c>
      <c r="F45" s="2">
        <v>39</v>
      </c>
      <c r="G45" s="2">
        <v>284</v>
      </c>
      <c r="H45" s="2">
        <v>98</v>
      </c>
      <c r="I45" s="2">
        <v>0</v>
      </c>
      <c r="J45" s="2">
        <v>0.26837060702875398</v>
      </c>
      <c r="K45" s="2">
        <v>1.83689839572192</v>
      </c>
      <c r="L45" s="2">
        <v>1.43769968051118E-2</v>
      </c>
      <c r="M45" s="2">
        <v>5.0802139037433101E-2</v>
      </c>
      <c r="N45" s="4">
        <f>ROUND(D45/B45*100, 0)</f>
        <v>37</v>
      </c>
      <c r="O45" s="5">
        <f>AVERAGE($N$3:$N$102)</f>
        <v>36.97</v>
      </c>
      <c r="P45" s="4">
        <v>31</v>
      </c>
      <c r="Q45" s="4">
        <f>COUNTIF($P$3:$P$102, "&lt;="&amp;P45)/COUNT($P$3:$P$102)</f>
        <v>0.45</v>
      </c>
    </row>
    <row r="46" spans="1:17">
      <c r="A46" s="2" t="s">
        <v>75</v>
      </c>
      <c r="B46" s="2">
        <v>663</v>
      </c>
      <c r="C46" s="2">
        <v>474</v>
      </c>
      <c r="D46" s="2">
        <v>189</v>
      </c>
      <c r="E46" s="2">
        <v>0</v>
      </c>
      <c r="F46" s="2">
        <v>99</v>
      </c>
      <c r="G46" s="2">
        <v>75</v>
      </c>
      <c r="H46" s="2">
        <v>113</v>
      </c>
      <c r="I46" s="2">
        <v>1</v>
      </c>
      <c r="J46" s="2">
        <v>24.185654008438799</v>
      </c>
      <c r="K46" s="2">
        <v>0.33862433862433799</v>
      </c>
      <c r="L46" s="2">
        <v>0.60126582278481</v>
      </c>
      <c r="M46" s="2">
        <v>3.7037037037037E-2</v>
      </c>
      <c r="N46" s="4">
        <f>ROUND(D46/B46*100, 0)</f>
        <v>29</v>
      </c>
      <c r="O46" s="5">
        <f>AVERAGE($N$3:$N$102)</f>
        <v>36.97</v>
      </c>
      <c r="P46" s="4">
        <v>31</v>
      </c>
      <c r="Q46" s="4">
        <f>COUNTIF($P$3:$P$102, "&lt;="&amp;P46)/COUNT($P$3:$P$102)</f>
        <v>0.45</v>
      </c>
    </row>
    <row r="47" spans="1:17">
      <c r="A47" s="2" t="s">
        <v>76</v>
      </c>
      <c r="B47" s="2">
        <v>1000</v>
      </c>
      <c r="C47" s="2">
        <v>205</v>
      </c>
      <c r="D47" s="2">
        <v>795</v>
      </c>
      <c r="E47" s="2">
        <v>0</v>
      </c>
      <c r="F47" s="2">
        <v>726</v>
      </c>
      <c r="G47" s="2">
        <v>16</v>
      </c>
      <c r="H47" s="2">
        <v>758</v>
      </c>
      <c r="I47" s="2">
        <v>2</v>
      </c>
      <c r="J47" s="2">
        <v>5.3658536585365797E-2</v>
      </c>
      <c r="K47" s="2">
        <v>2.1383647798742099E-2</v>
      </c>
      <c r="L47" s="2">
        <v>2.92682926829268E-2</v>
      </c>
      <c r="M47" s="2">
        <v>2.5157232704402501E-3</v>
      </c>
      <c r="N47" s="4">
        <f>ROUND(D47/B47*100, 0)</f>
        <v>80</v>
      </c>
      <c r="O47" s="5">
        <f>AVERAGE($N$3:$N$102)</f>
        <v>36.97</v>
      </c>
      <c r="P47" s="4">
        <v>31</v>
      </c>
      <c r="Q47" s="4">
        <f>COUNTIF($P$3:$P$102, "&lt;="&amp;P47)/COUNT($P$3:$P$102)</f>
        <v>0.45</v>
      </c>
    </row>
    <row r="48" spans="1:17">
      <c r="A48" s="2" t="s">
        <v>77</v>
      </c>
      <c r="B48" s="2">
        <v>891</v>
      </c>
      <c r="C48" s="2">
        <v>507</v>
      </c>
      <c r="D48" s="2">
        <v>384</v>
      </c>
      <c r="E48" s="2">
        <v>0</v>
      </c>
      <c r="F48" s="2">
        <v>135</v>
      </c>
      <c r="G48" s="2">
        <v>191</v>
      </c>
      <c r="H48" s="2">
        <v>181</v>
      </c>
      <c r="I48" s="2">
        <v>17</v>
      </c>
      <c r="J48" s="2">
        <v>0.73570019723865798</v>
      </c>
      <c r="K48" s="2">
        <v>0.41145833333333298</v>
      </c>
      <c r="L48" s="2">
        <v>0.224852071005917</v>
      </c>
      <c r="M48" s="2">
        <v>7.2916666666666602E-2</v>
      </c>
      <c r="N48" s="4">
        <f>ROUND(D48/B48*100, 0)</f>
        <v>43</v>
      </c>
      <c r="O48" s="5">
        <f>AVERAGE($N$3:$N$102)</f>
        <v>36.97</v>
      </c>
      <c r="P48" s="4">
        <v>32</v>
      </c>
      <c r="Q48" s="4">
        <f>COUNTIF($P$3:$P$102, "&lt;="&amp;P48)/COUNT($P$3:$P$102)</f>
        <v>0.48</v>
      </c>
    </row>
    <row r="49" spans="1:17">
      <c r="A49" s="2" t="s">
        <v>78</v>
      </c>
      <c r="B49" s="2">
        <v>145</v>
      </c>
      <c r="C49" s="2">
        <v>42</v>
      </c>
      <c r="D49" s="2">
        <v>103</v>
      </c>
      <c r="E49" s="2">
        <v>0</v>
      </c>
      <c r="F49" s="2">
        <v>47</v>
      </c>
      <c r="G49" s="2">
        <v>15</v>
      </c>
      <c r="H49" s="2">
        <v>82</v>
      </c>
      <c r="I49" s="2">
        <v>30</v>
      </c>
      <c r="J49" s="2">
        <v>0.59523809523809501</v>
      </c>
      <c r="K49" s="2">
        <v>0.961165048543689</v>
      </c>
      <c r="L49" s="2">
        <v>0.14285714285714199</v>
      </c>
      <c r="M49" s="2">
        <v>5.8252427184466E-2</v>
      </c>
      <c r="N49" s="4">
        <f>ROUND(D49/B49*100, 0)</f>
        <v>71</v>
      </c>
      <c r="O49" s="5">
        <f>AVERAGE($N$3:$N$102)</f>
        <v>36.97</v>
      </c>
      <c r="P49" s="4">
        <v>32</v>
      </c>
      <c r="Q49" s="4">
        <f>COUNTIF($P$3:$P$102, "&lt;="&amp;P49)/COUNT($P$3:$P$102)</f>
        <v>0.48</v>
      </c>
    </row>
    <row r="50" spans="1:17">
      <c r="A50" s="2" t="s">
        <v>79</v>
      </c>
      <c r="B50" s="2">
        <v>1000</v>
      </c>
      <c r="C50" s="2">
        <v>797</v>
      </c>
      <c r="D50" s="2">
        <v>203</v>
      </c>
      <c r="E50" s="2">
        <v>0</v>
      </c>
      <c r="F50" s="2">
        <v>84</v>
      </c>
      <c r="G50" s="2">
        <v>78</v>
      </c>
      <c r="H50" s="2">
        <v>120</v>
      </c>
      <c r="I50" s="2">
        <v>2</v>
      </c>
      <c r="J50" s="2">
        <v>3.48933500627352</v>
      </c>
      <c r="K50" s="2">
        <v>1.1527093596059099</v>
      </c>
      <c r="L50" s="2">
        <v>1.88205771643663E-2</v>
      </c>
      <c r="M50" s="2">
        <v>9.8522167487684695E-3</v>
      </c>
      <c r="N50" s="4">
        <f>ROUND(D50/B50*100, 0)</f>
        <v>20</v>
      </c>
      <c r="O50" s="5">
        <f>AVERAGE($N$3:$N$102)</f>
        <v>36.97</v>
      </c>
      <c r="P50" s="4">
        <v>32</v>
      </c>
      <c r="Q50" s="4">
        <f>COUNTIF($P$3:$P$102, "&lt;="&amp;P50)/COUNT($P$3:$P$102)</f>
        <v>0.48</v>
      </c>
    </row>
    <row r="51" spans="1:17">
      <c r="A51" s="2" t="s">
        <v>80</v>
      </c>
      <c r="B51" s="2">
        <v>151</v>
      </c>
      <c r="C51" s="2">
        <v>90</v>
      </c>
      <c r="D51" s="2">
        <v>61</v>
      </c>
      <c r="E51" s="2">
        <v>1</v>
      </c>
      <c r="F51" s="2">
        <v>27</v>
      </c>
      <c r="G51" s="2">
        <v>14</v>
      </c>
      <c r="H51" s="2">
        <v>42</v>
      </c>
      <c r="I51" s="2">
        <v>10</v>
      </c>
      <c r="J51" s="2">
        <v>2.4111111111111101</v>
      </c>
      <c r="K51" s="2">
        <v>0.57377049180327799</v>
      </c>
      <c r="L51" s="2">
        <v>0.41111111111111098</v>
      </c>
      <c r="M51" s="2">
        <v>4.9180327868852403E-2</v>
      </c>
      <c r="N51" s="4">
        <f>ROUND(D51/B51*100, 0)</f>
        <v>40</v>
      </c>
      <c r="O51" s="5">
        <f>AVERAGE($N$3:$N$102)</f>
        <v>36.97</v>
      </c>
      <c r="P51" s="4">
        <v>33</v>
      </c>
      <c r="Q51" s="4">
        <f>COUNTIF($P$3:$P$102, "&lt;="&amp;P51)/COUNT($P$3:$P$102)</f>
        <v>0.49</v>
      </c>
    </row>
    <row r="52" spans="1:17">
      <c r="A52" s="2" t="s">
        <v>81</v>
      </c>
      <c r="B52" s="2">
        <v>434</v>
      </c>
      <c r="C52" s="2">
        <v>286</v>
      </c>
      <c r="D52" s="2">
        <v>148</v>
      </c>
      <c r="E52" s="2">
        <v>0</v>
      </c>
      <c r="F52" s="2">
        <v>40</v>
      </c>
      <c r="G52" s="2">
        <v>67</v>
      </c>
      <c r="H52" s="2">
        <v>77</v>
      </c>
      <c r="I52" s="2">
        <v>7</v>
      </c>
      <c r="J52" s="2">
        <v>2.1818181818181799</v>
      </c>
      <c r="K52" s="2">
        <v>0.58783783783783705</v>
      </c>
      <c r="L52" s="2">
        <v>0.39860139860139798</v>
      </c>
      <c r="M52" s="2">
        <v>2.7027027027027001E-2</v>
      </c>
      <c r="N52" s="4">
        <f>ROUND(D52/B52*100, 0)</f>
        <v>34</v>
      </c>
      <c r="O52" s="5">
        <f>AVERAGE($N$3:$N$102)</f>
        <v>36.97</v>
      </c>
      <c r="P52" s="4">
        <v>34</v>
      </c>
      <c r="Q52" s="4">
        <f>COUNTIF($P$3:$P$102, "&lt;="&amp;P52)/COUNT($P$3:$P$102)</f>
        <v>0.53</v>
      </c>
    </row>
    <row r="53" spans="1:17">
      <c r="A53" s="2" t="s">
        <v>82</v>
      </c>
      <c r="B53" s="2">
        <v>188</v>
      </c>
      <c r="C53" s="2">
        <v>123</v>
      </c>
      <c r="D53" s="2">
        <v>65</v>
      </c>
      <c r="E53" s="2">
        <v>0</v>
      </c>
      <c r="F53" s="2">
        <v>52</v>
      </c>
      <c r="G53" s="2">
        <v>10</v>
      </c>
      <c r="H53" s="2">
        <v>50</v>
      </c>
      <c r="I53" s="2">
        <v>0</v>
      </c>
      <c r="J53" s="2">
        <v>35.3333333333333</v>
      </c>
      <c r="K53" s="2">
        <v>1.6923076923076901</v>
      </c>
      <c r="L53" s="2">
        <v>0.430894308943089</v>
      </c>
      <c r="M53" s="2">
        <v>0.123076923076923</v>
      </c>
      <c r="N53" s="4">
        <f>ROUND(D53/B53*100, 0)</f>
        <v>35</v>
      </c>
      <c r="O53" s="5">
        <f>AVERAGE($N$3:$N$102)</f>
        <v>36.97</v>
      </c>
      <c r="P53" s="4">
        <v>34</v>
      </c>
      <c r="Q53" s="4">
        <f>COUNTIF($P$3:$P$102, "&lt;="&amp;P53)/COUNT($P$3:$P$102)</f>
        <v>0.53</v>
      </c>
    </row>
    <row r="54" spans="1:17">
      <c r="A54" s="2" t="s">
        <v>83</v>
      </c>
      <c r="B54" s="2">
        <v>240</v>
      </c>
      <c r="C54" s="2">
        <v>173</v>
      </c>
      <c r="D54" s="2">
        <v>67</v>
      </c>
      <c r="E54" s="2">
        <v>0</v>
      </c>
      <c r="F54" s="2">
        <v>12</v>
      </c>
      <c r="G54" s="2">
        <v>28</v>
      </c>
      <c r="H54" s="2">
        <v>36</v>
      </c>
      <c r="I54" s="2">
        <v>36</v>
      </c>
      <c r="J54" s="2">
        <v>1.6994219653179099</v>
      </c>
      <c r="K54" s="2">
        <v>0.26865671641791</v>
      </c>
      <c r="L54" s="2">
        <v>0.21387283236994201</v>
      </c>
      <c r="M54" s="2">
        <v>8.9552238805970102E-2</v>
      </c>
      <c r="N54" s="4">
        <f>ROUND(D54/B54*100, 0)</f>
        <v>28</v>
      </c>
      <c r="O54" s="5">
        <f>AVERAGE($N$3:$N$102)</f>
        <v>36.97</v>
      </c>
      <c r="P54" s="4">
        <v>34</v>
      </c>
      <c r="Q54" s="4">
        <f>COUNTIF($P$3:$P$102, "&lt;="&amp;P54)/COUNT($P$3:$P$102)</f>
        <v>0.53</v>
      </c>
    </row>
    <row r="55" spans="1:17">
      <c r="A55" s="2" t="s">
        <v>84</v>
      </c>
      <c r="B55" s="2">
        <v>67</v>
      </c>
      <c r="C55" s="2">
        <v>48</v>
      </c>
      <c r="D55" s="2">
        <v>19</v>
      </c>
      <c r="E55" s="2">
        <v>0</v>
      </c>
      <c r="F55" s="2">
        <v>14</v>
      </c>
      <c r="G55" s="2">
        <v>5</v>
      </c>
      <c r="H55" s="2">
        <v>14</v>
      </c>
      <c r="I55" s="2">
        <v>0</v>
      </c>
      <c r="J55" s="2">
        <v>2.1875</v>
      </c>
      <c r="K55" s="2">
        <v>0.47368421052631499</v>
      </c>
      <c r="L55" s="2">
        <v>1.25</v>
      </c>
      <c r="M55" s="2">
        <v>0.89473684210526305</v>
      </c>
      <c r="N55" s="4">
        <f>ROUND(D55/B55*100, 0)</f>
        <v>28</v>
      </c>
      <c r="O55" s="5">
        <f>AVERAGE($N$3:$N$102)</f>
        <v>36.97</v>
      </c>
      <c r="P55" s="4">
        <v>34</v>
      </c>
      <c r="Q55" s="4">
        <f>COUNTIF($P$3:$P$102, "&lt;="&amp;P55)/COUNT($P$3:$P$102)</f>
        <v>0.53</v>
      </c>
    </row>
    <row r="56" spans="1:17">
      <c r="A56" s="2" t="s">
        <v>85</v>
      </c>
      <c r="B56" s="2">
        <v>1000</v>
      </c>
      <c r="C56" s="2">
        <v>715</v>
      </c>
      <c r="D56" s="2">
        <v>285</v>
      </c>
      <c r="E56" s="2">
        <v>1</v>
      </c>
      <c r="F56" s="2">
        <v>151</v>
      </c>
      <c r="G56" s="2">
        <v>98</v>
      </c>
      <c r="H56" s="2">
        <v>167</v>
      </c>
      <c r="I56" s="2">
        <v>0</v>
      </c>
      <c r="J56" s="2">
        <v>2.24895104895104</v>
      </c>
      <c r="K56" s="2">
        <v>0.814035087719298</v>
      </c>
      <c r="L56" s="2">
        <v>5.7342657342657297E-2</v>
      </c>
      <c r="M56" s="2">
        <v>7.0175438596491203E-3</v>
      </c>
      <c r="N56" s="4">
        <f>ROUND(D56/B56*100, 0)</f>
        <v>29</v>
      </c>
      <c r="O56" s="5">
        <f>AVERAGE($N$3:$N$102)</f>
        <v>36.97</v>
      </c>
      <c r="P56" s="4">
        <v>35</v>
      </c>
      <c r="Q56" s="4">
        <f>COUNTIF($P$3:$P$102, "&lt;="&amp;P56)/COUNT($P$3:$P$102)</f>
        <v>0.55000000000000004</v>
      </c>
    </row>
    <row r="57" spans="1:17">
      <c r="A57" s="2" t="s">
        <v>86</v>
      </c>
      <c r="B57" s="2">
        <v>331</v>
      </c>
      <c r="C57" s="2">
        <v>186</v>
      </c>
      <c r="D57" s="2">
        <v>145</v>
      </c>
      <c r="E57" s="2">
        <v>7</v>
      </c>
      <c r="F57" s="2">
        <v>40</v>
      </c>
      <c r="G57" s="2">
        <v>33</v>
      </c>
      <c r="H57" s="2">
        <v>105</v>
      </c>
      <c r="I57" s="2">
        <v>2</v>
      </c>
      <c r="J57" s="2">
        <v>1.10752688172043</v>
      </c>
      <c r="K57" s="2">
        <v>1.02758620689655</v>
      </c>
      <c r="L57" s="2">
        <v>9.6774193548387094E-2</v>
      </c>
      <c r="M57" s="2">
        <v>0.11034482758620601</v>
      </c>
      <c r="N57" s="4">
        <f>ROUND(D57/B57*100, 0)</f>
        <v>44</v>
      </c>
      <c r="O57" s="5">
        <f>AVERAGE($N$3:$N$102)</f>
        <v>36.97</v>
      </c>
      <c r="P57" s="4">
        <v>35</v>
      </c>
      <c r="Q57" s="4">
        <f>COUNTIF($P$3:$P$102, "&lt;="&amp;P57)/COUNT($P$3:$P$102)</f>
        <v>0.55000000000000004</v>
      </c>
    </row>
    <row r="58" spans="1:17">
      <c r="A58" s="2" t="s">
        <v>87</v>
      </c>
      <c r="B58" s="2">
        <v>1000</v>
      </c>
      <c r="C58" s="2">
        <v>662</v>
      </c>
      <c r="D58" s="2">
        <v>338</v>
      </c>
      <c r="E58" s="2">
        <v>2</v>
      </c>
      <c r="F58" s="2">
        <v>56</v>
      </c>
      <c r="G58" s="2">
        <v>59</v>
      </c>
      <c r="H58" s="2">
        <v>266</v>
      </c>
      <c r="I58" s="2">
        <v>1</v>
      </c>
      <c r="J58" s="2">
        <v>0.155589123867069</v>
      </c>
      <c r="K58" s="2">
        <v>2.6627218934911202E-2</v>
      </c>
      <c r="L58" s="2">
        <v>3.0211480362537699E-3</v>
      </c>
      <c r="M58" s="2">
        <v>2.07100591715976E-2</v>
      </c>
      <c r="N58" s="4">
        <f>ROUND(D58/B58*100, 0)</f>
        <v>34</v>
      </c>
      <c r="O58" s="5">
        <f>AVERAGE($N$3:$N$102)</f>
        <v>36.97</v>
      </c>
      <c r="P58" s="4">
        <v>36</v>
      </c>
      <c r="Q58" s="4">
        <f>COUNTIF($P$3:$P$102, "&lt;="&amp;P58)/COUNT($P$3:$P$102)</f>
        <v>0.57999999999999996</v>
      </c>
    </row>
    <row r="59" spans="1:17">
      <c r="A59" s="2" t="s">
        <v>88</v>
      </c>
      <c r="B59" s="2">
        <v>1000</v>
      </c>
      <c r="C59" s="2">
        <v>691</v>
      </c>
      <c r="D59" s="2">
        <v>309</v>
      </c>
      <c r="E59" s="2">
        <v>1</v>
      </c>
      <c r="F59" s="2">
        <v>209</v>
      </c>
      <c r="G59" s="2">
        <v>87</v>
      </c>
      <c r="H59" s="2">
        <v>199</v>
      </c>
      <c r="I59" s="2">
        <v>0</v>
      </c>
      <c r="J59" s="2">
        <v>0.63096960926193901</v>
      </c>
      <c r="K59" s="2">
        <v>5.8252427184466E-2</v>
      </c>
      <c r="L59" s="2">
        <v>1.01302460202604E-2</v>
      </c>
      <c r="M59" s="2">
        <v>3.2362459546925498E-3</v>
      </c>
      <c r="N59" s="4">
        <f>ROUND(D59/B59*100, 0)</f>
        <v>31</v>
      </c>
      <c r="O59" s="5">
        <f>AVERAGE($N$3:$N$102)</f>
        <v>36.97</v>
      </c>
      <c r="P59" s="4">
        <v>36</v>
      </c>
      <c r="Q59" s="4">
        <f>COUNTIF($P$3:$P$102, "&lt;="&amp;P59)/COUNT($P$3:$P$102)</f>
        <v>0.57999999999999996</v>
      </c>
    </row>
    <row r="60" spans="1:17">
      <c r="A60" s="2" t="s">
        <v>89</v>
      </c>
      <c r="B60" s="2">
        <v>717</v>
      </c>
      <c r="C60" s="2">
        <v>558</v>
      </c>
      <c r="D60" s="2">
        <v>159</v>
      </c>
      <c r="E60" s="2">
        <v>0</v>
      </c>
      <c r="F60" s="2">
        <v>12</v>
      </c>
      <c r="G60" s="2">
        <v>32</v>
      </c>
      <c r="H60" s="2">
        <v>122</v>
      </c>
      <c r="I60" s="2">
        <v>0</v>
      </c>
      <c r="J60" s="2">
        <v>1.3978494623655899</v>
      </c>
      <c r="K60" s="2">
        <v>0.57232704402515699</v>
      </c>
      <c r="L60" s="2">
        <v>9.1397849462365593E-2</v>
      </c>
      <c r="M60" s="2">
        <v>1.25786163522012E-2</v>
      </c>
      <c r="N60" s="4">
        <f>ROUND(D60/B60*100, 0)</f>
        <v>22</v>
      </c>
      <c r="O60" s="5">
        <f>AVERAGE($N$3:$N$102)</f>
        <v>36.97</v>
      </c>
      <c r="P60" s="4">
        <v>36</v>
      </c>
      <c r="Q60" s="4">
        <f>COUNTIF($P$3:$P$102, "&lt;="&amp;P60)/COUNT($P$3:$P$102)</f>
        <v>0.57999999999999996</v>
      </c>
    </row>
    <row r="61" spans="1:17">
      <c r="A61" s="2" t="s">
        <v>90</v>
      </c>
      <c r="B61" s="2">
        <v>207</v>
      </c>
      <c r="C61" s="2">
        <v>115</v>
      </c>
      <c r="D61" s="2">
        <v>92</v>
      </c>
      <c r="E61" s="2">
        <v>0</v>
      </c>
      <c r="F61" s="2">
        <v>66</v>
      </c>
      <c r="G61" s="2">
        <v>15</v>
      </c>
      <c r="H61" s="2">
        <v>73</v>
      </c>
      <c r="I61" s="2">
        <v>1</v>
      </c>
      <c r="J61" s="2">
        <v>2.1217391304347801</v>
      </c>
      <c r="K61" s="2">
        <v>0.66304347826086896</v>
      </c>
      <c r="L61" s="2">
        <v>0.38260869565217298</v>
      </c>
      <c r="M61" s="2">
        <v>5.4347826086956499E-2</v>
      </c>
      <c r="N61" s="4">
        <f>ROUND(D61/B61*100, 0)</f>
        <v>44</v>
      </c>
      <c r="O61" s="5">
        <f>AVERAGE($N$3:$N$102)</f>
        <v>36.97</v>
      </c>
      <c r="P61" s="4">
        <v>37</v>
      </c>
      <c r="Q61" s="4">
        <f>COUNTIF($P$3:$P$102, "&lt;="&amp;P61)/COUNT($P$3:$P$102)</f>
        <v>0.6</v>
      </c>
    </row>
    <row r="62" spans="1:17">
      <c r="A62" s="2" t="s">
        <v>91</v>
      </c>
      <c r="B62" s="2">
        <v>553</v>
      </c>
      <c r="C62" s="2">
        <v>383</v>
      </c>
      <c r="D62" s="2">
        <v>170</v>
      </c>
      <c r="E62" s="2">
        <v>0</v>
      </c>
      <c r="F62" s="2">
        <v>29</v>
      </c>
      <c r="G62" s="2">
        <v>22</v>
      </c>
      <c r="H62" s="2">
        <v>145</v>
      </c>
      <c r="I62" s="2">
        <v>0</v>
      </c>
      <c r="J62" s="2">
        <v>0.506527415143603</v>
      </c>
      <c r="K62" s="2">
        <v>0.14705882352941099</v>
      </c>
      <c r="L62" s="2">
        <v>0.10443864229765</v>
      </c>
      <c r="M62" s="2">
        <v>5.8823529411764696E-3</v>
      </c>
      <c r="N62" s="4">
        <f>ROUND(D62/B62*100, 0)</f>
        <v>31</v>
      </c>
      <c r="O62" s="5">
        <f>AVERAGE($N$3:$N$102)</f>
        <v>36.97</v>
      </c>
      <c r="P62" s="4">
        <v>37</v>
      </c>
      <c r="Q62" s="4">
        <f>COUNTIF($P$3:$P$102, "&lt;="&amp;P62)/COUNT($P$3:$P$102)</f>
        <v>0.6</v>
      </c>
    </row>
    <row r="63" spans="1:17">
      <c r="A63" s="2" t="s">
        <v>92</v>
      </c>
      <c r="B63" s="2">
        <v>405</v>
      </c>
      <c r="C63" s="2">
        <v>144</v>
      </c>
      <c r="D63" s="2">
        <v>261</v>
      </c>
      <c r="E63" s="2">
        <v>0</v>
      </c>
      <c r="F63" s="2">
        <v>169</v>
      </c>
      <c r="G63" s="2">
        <v>46</v>
      </c>
      <c r="H63" s="2">
        <v>205</v>
      </c>
      <c r="I63" s="2">
        <v>6</v>
      </c>
      <c r="J63" s="2">
        <v>8.1736111111111107</v>
      </c>
      <c r="K63" s="2">
        <v>3.9310344827586201</v>
      </c>
      <c r="L63" s="2">
        <v>0.44444444444444398</v>
      </c>
      <c r="M63" s="2">
        <v>0.21455938697318</v>
      </c>
      <c r="N63" s="4">
        <f>ROUND(D63/B63*100, 0)</f>
        <v>64</v>
      </c>
      <c r="O63" s="5">
        <f>AVERAGE($N$3:$N$102)</f>
        <v>36.97</v>
      </c>
      <c r="P63" s="4">
        <v>38</v>
      </c>
      <c r="Q63" s="4">
        <f>COUNTIF($P$3:$P$102, "&lt;="&amp;P63)/COUNT($P$3:$P$102)</f>
        <v>0.61</v>
      </c>
    </row>
    <row r="64" spans="1:17">
      <c r="A64" s="2" t="s">
        <v>93</v>
      </c>
      <c r="B64" s="2">
        <v>252</v>
      </c>
      <c r="C64" s="2">
        <v>184</v>
      </c>
      <c r="D64" s="2">
        <v>68</v>
      </c>
      <c r="E64" s="2">
        <v>1</v>
      </c>
      <c r="F64" s="2">
        <v>22</v>
      </c>
      <c r="G64" s="2">
        <v>31</v>
      </c>
      <c r="H64" s="2">
        <v>34</v>
      </c>
      <c r="I64" s="2">
        <v>1</v>
      </c>
      <c r="J64" s="2">
        <v>5.6413043478260798</v>
      </c>
      <c r="K64" s="2">
        <v>1.4264705882352899</v>
      </c>
      <c r="L64" s="2">
        <v>0.26086956521739102</v>
      </c>
      <c r="M64" s="2">
        <v>7.3529411764705802E-2</v>
      </c>
      <c r="N64" s="4">
        <f>ROUND(D64/B64*100, 0)</f>
        <v>27</v>
      </c>
      <c r="O64" s="5">
        <f>AVERAGE($N$3:$N$102)</f>
        <v>36.97</v>
      </c>
      <c r="P64" s="4">
        <v>40</v>
      </c>
      <c r="Q64" s="4">
        <f>COUNTIF($P$3:$P$102, "&lt;="&amp;P64)/COUNT($P$3:$P$102)</f>
        <v>0.66</v>
      </c>
    </row>
    <row r="65" spans="1:17">
      <c r="A65" s="2" t="s">
        <v>94</v>
      </c>
      <c r="B65" s="2">
        <v>1000</v>
      </c>
      <c r="C65" s="2">
        <v>712</v>
      </c>
      <c r="D65" s="2">
        <v>288</v>
      </c>
      <c r="E65" s="2">
        <v>1</v>
      </c>
      <c r="F65" s="2">
        <v>120</v>
      </c>
      <c r="G65" s="2">
        <v>99</v>
      </c>
      <c r="H65" s="2">
        <v>176</v>
      </c>
      <c r="I65" s="2">
        <v>1</v>
      </c>
      <c r="J65" s="2">
        <v>0.136235955056179</v>
      </c>
      <c r="K65" s="2">
        <v>0.11111111111111099</v>
      </c>
      <c r="L65" s="2">
        <v>8.4269662921348295E-3</v>
      </c>
      <c r="M65" s="2">
        <v>3.4722222222222199E-3</v>
      </c>
      <c r="N65" s="4">
        <f>ROUND(D65/B65*100, 0)</f>
        <v>29</v>
      </c>
      <c r="O65" s="5">
        <f>AVERAGE($N$3:$N$102)</f>
        <v>36.97</v>
      </c>
      <c r="P65" s="4">
        <v>40</v>
      </c>
      <c r="Q65" s="4">
        <f>COUNTIF($P$3:$P$102, "&lt;="&amp;P65)/COUNT($P$3:$P$102)</f>
        <v>0.66</v>
      </c>
    </row>
    <row r="66" spans="1:17">
      <c r="A66" s="2" t="s">
        <v>95</v>
      </c>
      <c r="B66" s="2">
        <v>1000</v>
      </c>
      <c r="C66" s="2">
        <v>859</v>
      </c>
      <c r="D66" s="2">
        <v>141</v>
      </c>
      <c r="E66" s="2">
        <v>2</v>
      </c>
      <c r="F66" s="2">
        <v>18</v>
      </c>
      <c r="G66" s="2">
        <v>107</v>
      </c>
      <c r="H66" s="2">
        <v>33</v>
      </c>
      <c r="I66" s="2">
        <v>0</v>
      </c>
      <c r="J66" s="2">
        <v>0.202561117578579</v>
      </c>
      <c r="K66" s="2">
        <v>0.113475177304964</v>
      </c>
      <c r="L66" s="2">
        <v>3.4924330616996498E-3</v>
      </c>
      <c r="M66" s="2">
        <v>7.09219858156028E-3</v>
      </c>
      <c r="N66" s="4">
        <f>ROUND(D66/B66*100, 0)</f>
        <v>14</v>
      </c>
      <c r="O66" s="5">
        <f>AVERAGE($N$3:$N$102)</f>
        <v>36.97</v>
      </c>
      <c r="P66" s="4">
        <v>40</v>
      </c>
      <c r="Q66" s="4">
        <f>COUNTIF($P$3:$P$102, "&lt;="&amp;P66)/COUNT($P$3:$P$102)</f>
        <v>0.66</v>
      </c>
    </row>
    <row r="67" spans="1:17">
      <c r="A67" s="2" t="s">
        <v>96</v>
      </c>
      <c r="B67" s="2">
        <v>1000</v>
      </c>
      <c r="C67" s="2">
        <v>801</v>
      </c>
      <c r="D67" s="2">
        <v>199</v>
      </c>
      <c r="E67" s="2">
        <v>0</v>
      </c>
      <c r="F67" s="2">
        <v>59</v>
      </c>
      <c r="G67" s="2">
        <v>93</v>
      </c>
      <c r="H67" s="2">
        <v>93</v>
      </c>
      <c r="I67" s="2">
        <v>42</v>
      </c>
      <c r="J67" s="2">
        <v>0.43071161048689099</v>
      </c>
      <c r="K67" s="2">
        <v>0.63316582914572805</v>
      </c>
      <c r="L67" s="2">
        <v>1.3732833957553E-2</v>
      </c>
      <c r="M67" s="2">
        <v>2.5125628140703501E-2</v>
      </c>
      <c r="N67" s="4">
        <f>ROUND(D67/B67*100, 0)</f>
        <v>20</v>
      </c>
      <c r="O67" s="5">
        <f>AVERAGE($N$3:$N$102)</f>
        <v>36.97</v>
      </c>
      <c r="P67" s="4">
        <v>40</v>
      </c>
      <c r="Q67" s="4">
        <f>COUNTIF($P$3:$P$102, "&lt;="&amp;P67)/COUNT($P$3:$P$102)</f>
        <v>0.66</v>
      </c>
    </row>
    <row r="68" spans="1:17">
      <c r="A68" s="2" t="s">
        <v>97</v>
      </c>
      <c r="B68" s="2">
        <v>445</v>
      </c>
      <c r="C68" s="2">
        <v>237</v>
      </c>
      <c r="D68" s="2">
        <v>208</v>
      </c>
      <c r="E68" s="2">
        <v>0</v>
      </c>
      <c r="F68" s="2">
        <v>83</v>
      </c>
      <c r="G68" s="2">
        <v>26</v>
      </c>
      <c r="H68" s="2">
        <v>167</v>
      </c>
      <c r="I68" s="2">
        <v>7</v>
      </c>
      <c r="J68" s="2">
        <v>0.52742616033755196</v>
      </c>
      <c r="K68" s="2">
        <v>0.28365384615384598</v>
      </c>
      <c r="L68" s="2">
        <v>0.118143459915611</v>
      </c>
      <c r="M68" s="2">
        <v>1.44230769230769E-2</v>
      </c>
      <c r="N68" s="4">
        <f>ROUND(D68/B68*100, 0)</f>
        <v>47</v>
      </c>
      <c r="O68" s="5">
        <f>AVERAGE($N$3:$N$102)</f>
        <v>36.97</v>
      </c>
      <c r="P68" s="4">
        <v>40</v>
      </c>
      <c r="Q68" s="4">
        <f>COUNTIF($P$3:$P$102, "&lt;="&amp;P68)/COUNT($P$3:$P$102)</f>
        <v>0.66</v>
      </c>
    </row>
    <row r="69" spans="1:17">
      <c r="A69" s="2" t="s">
        <v>98</v>
      </c>
      <c r="B69" s="2">
        <v>1000</v>
      </c>
      <c r="C69" s="2">
        <v>697</v>
      </c>
      <c r="D69" s="2">
        <v>303</v>
      </c>
      <c r="E69" s="2">
        <v>9</v>
      </c>
      <c r="F69" s="2">
        <v>167</v>
      </c>
      <c r="G69" s="2">
        <v>83</v>
      </c>
      <c r="H69" s="2">
        <v>200</v>
      </c>
      <c r="I69" s="2">
        <v>0</v>
      </c>
      <c r="J69" s="2">
        <v>0.59253945480631198</v>
      </c>
      <c r="K69" s="2">
        <v>2.4290429042904198</v>
      </c>
      <c r="L69" s="2">
        <v>4.5911047345767501E-2</v>
      </c>
      <c r="M69" s="2">
        <v>0.18811881188118801</v>
      </c>
      <c r="N69" s="4">
        <f>ROUND(D69/B69*100, 0)</f>
        <v>30</v>
      </c>
      <c r="O69" s="5">
        <f>AVERAGE($N$3:$N$102)</f>
        <v>36.97</v>
      </c>
      <c r="P69" s="4">
        <v>42</v>
      </c>
      <c r="Q69" s="4">
        <f>COUNTIF($P$3:$P$102, "&lt;="&amp;P69)/COUNT($P$3:$P$102)</f>
        <v>0.67</v>
      </c>
    </row>
    <row r="70" spans="1:17">
      <c r="A70" s="2" t="s">
        <v>99</v>
      </c>
      <c r="B70" s="2">
        <v>1000</v>
      </c>
      <c r="C70" s="2">
        <v>431</v>
      </c>
      <c r="D70" s="2">
        <v>569</v>
      </c>
      <c r="E70" s="2">
        <v>2</v>
      </c>
      <c r="F70" s="2">
        <v>345</v>
      </c>
      <c r="G70" s="2">
        <v>114</v>
      </c>
      <c r="H70" s="2">
        <v>319</v>
      </c>
      <c r="I70" s="2">
        <v>6</v>
      </c>
      <c r="J70" s="2">
        <v>1.6426914153132199</v>
      </c>
      <c r="K70" s="2">
        <v>0.100175746924428</v>
      </c>
      <c r="L70" s="2">
        <v>0.45707656612529002</v>
      </c>
      <c r="M70" s="2">
        <v>2.10896309314587E-2</v>
      </c>
      <c r="N70" s="4">
        <f>ROUND(D70/B70*100, 0)</f>
        <v>57</v>
      </c>
      <c r="O70" s="5">
        <f>AVERAGE($N$3:$N$102)</f>
        <v>36.97</v>
      </c>
      <c r="P70" s="4">
        <v>43</v>
      </c>
      <c r="Q70" s="4">
        <f>COUNTIF($P$3:$P$102, "&lt;="&amp;P70)/COUNT($P$3:$P$102)</f>
        <v>0.68</v>
      </c>
    </row>
    <row r="71" spans="1:17">
      <c r="A71" s="2" t="s">
        <v>100</v>
      </c>
      <c r="B71" s="2">
        <v>306</v>
      </c>
      <c r="C71" s="2">
        <v>142</v>
      </c>
      <c r="D71" s="2">
        <v>164</v>
      </c>
      <c r="E71" s="2">
        <v>0</v>
      </c>
      <c r="F71" s="2">
        <v>116</v>
      </c>
      <c r="G71" s="2">
        <v>35</v>
      </c>
      <c r="H71" s="2">
        <v>125</v>
      </c>
      <c r="I71" s="2">
        <v>0</v>
      </c>
      <c r="J71" s="2">
        <v>6.9859154929577398</v>
      </c>
      <c r="K71" s="2">
        <v>7.1036585365853604</v>
      </c>
      <c r="L71" s="2">
        <v>1.4084507042253501E-2</v>
      </c>
      <c r="M71" s="2">
        <v>0.189024390243902</v>
      </c>
      <c r="N71" s="4">
        <f>ROUND(D71/B71*100, 0)</f>
        <v>54</v>
      </c>
      <c r="O71" s="5">
        <f>AVERAGE($N$3:$N$102)</f>
        <v>36.97</v>
      </c>
      <c r="P71" s="4">
        <v>44</v>
      </c>
      <c r="Q71" s="4">
        <f>COUNTIF($P$3:$P$102, "&lt;="&amp;P71)/COUNT($P$3:$P$102)</f>
        <v>0.71</v>
      </c>
    </row>
    <row r="72" spans="1:17">
      <c r="A72" s="2" t="s">
        <v>101</v>
      </c>
      <c r="B72" s="2">
        <v>559</v>
      </c>
      <c r="C72" s="2">
        <v>336</v>
      </c>
      <c r="D72" s="2">
        <v>223</v>
      </c>
      <c r="E72" s="2">
        <v>0</v>
      </c>
      <c r="F72" s="2">
        <v>39</v>
      </c>
      <c r="G72" s="2">
        <v>148</v>
      </c>
      <c r="H72" s="2">
        <v>75</v>
      </c>
      <c r="I72" s="2">
        <v>5</v>
      </c>
      <c r="J72" s="2">
        <v>0.46726190476190399</v>
      </c>
      <c r="K72" s="2">
        <v>1.8161434977578399</v>
      </c>
      <c r="L72" s="2">
        <v>3.5714285714285698E-2</v>
      </c>
      <c r="M72" s="2">
        <v>0.19282511210762299</v>
      </c>
      <c r="N72" s="4">
        <f>ROUND(D72/B72*100, 0)</f>
        <v>40</v>
      </c>
      <c r="O72" s="5">
        <f>AVERAGE($N$3:$N$102)</f>
        <v>36.97</v>
      </c>
      <c r="P72" s="4">
        <v>44</v>
      </c>
      <c r="Q72" s="4">
        <f>COUNTIF($P$3:$P$102, "&lt;="&amp;P72)/COUNT($P$3:$P$102)</f>
        <v>0.71</v>
      </c>
    </row>
    <row r="73" spans="1:17">
      <c r="A73" s="2" t="s">
        <v>102</v>
      </c>
      <c r="B73" s="2">
        <v>1000</v>
      </c>
      <c r="C73" s="2">
        <v>528</v>
      </c>
      <c r="D73" s="2">
        <v>472</v>
      </c>
      <c r="E73" s="2">
        <v>0</v>
      </c>
      <c r="F73" s="2">
        <v>275</v>
      </c>
      <c r="G73" s="2">
        <v>105</v>
      </c>
      <c r="H73" s="2">
        <v>348</v>
      </c>
      <c r="I73" s="2">
        <v>3</v>
      </c>
      <c r="J73" s="2">
        <v>2.2083333333333299</v>
      </c>
      <c r="K73" s="2">
        <v>0.25</v>
      </c>
      <c r="L73" s="2">
        <v>0.376893939393939</v>
      </c>
      <c r="M73" s="2">
        <v>5.9322033898305003E-2</v>
      </c>
      <c r="N73" s="4">
        <f>ROUND(D73/B73*100, 0)</f>
        <v>47</v>
      </c>
      <c r="O73" s="5">
        <f>AVERAGE($N$3:$N$102)</f>
        <v>36.97</v>
      </c>
      <c r="P73" s="4">
        <v>44</v>
      </c>
      <c r="Q73" s="4">
        <f>COUNTIF($P$3:$P$102, "&lt;="&amp;P73)/COUNT($P$3:$P$102)</f>
        <v>0.71</v>
      </c>
    </row>
    <row r="74" spans="1:17">
      <c r="A74" s="2" t="s">
        <v>103</v>
      </c>
      <c r="B74" s="2">
        <v>1000</v>
      </c>
      <c r="C74" s="2">
        <v>645</v>
      </c>
      <c r="D74" s="2">
        <v>355</v>
      </c>
      <c r="E74" s="2">
        <v>1</v>
      </c>
      <c r="F74" s="2">
        <v>222</v>
      </c>
      <c r="G74" s="2">
        <v>90</v>
      </c>
      <c r="H74" s="2">
        <v>249</v>
      </c>
      <c r="I74" s="2">
        <v>0</v>
      </c>
      <c r="J74" s="2">
        <v>3.2139534883720899</v>
      </c>
      <c r="K74" s="2">
        <v>1.00281690140845</v>
      </c>
      <c r="L74" s="2">
        <v>9.7674418604651106E-2</v>
      </c>
      <c r="M74" s="2">
        <v>9.2957746478873199E-2</v>
      </c>
      <c r="N74" s="4">
        <f>ROUND(D74/B74*100, 0)</f>
        <v>36</v>
      </c>
      <c r="O74" s="5">
        <f>AVERAGE($N$3:$N$102)</f>
        <v>36.97</v>
      </c>
      <c r="P74" s="4">
        <v>45</v>
      </c>
      <c r="Q74" s="4">
        <f>COUNTIF($P$3:$P$102, "&lt;="&amp;P74)/COUNT($P$3:$P$102)</f>
        <v>0.72</v>
      </c>
    </row>
    <row r="75" spans="1:17">
      <c r="A75" s="2" t="s">
        <v>104</v>
      </c>
      <c r="B75" s="2">
        <v>1000</v>
      </c>
      <c r="C75" s="2">
        <v>332</v>
      </c>
      <c r="D75" s="2">
        <v>668</v>
      </c>
      <c r="E75" s="2">
        <v>3</v>
      </c>
      <c r="F75" s="2">
        <v>512</v>
      </c>
      <c r="G75" s="2">
        <v>64</v>
      </c>
      <c r="H75" s="2">
        <v>530</v>
      </c>
      <c r="I75" s="2">
        <v>9</v>
      </c>
      <c r="J75" s="2">
        <v>2.2740963855421601</v>
      </c>
      <c r="K75" s="2">
        <v>0.58832335329341301</v>
      </c>
      <c r="L75" s="2">
        <v>0.313253012048192</v>
      </c>
      <c r="M75" s="2">
        <v>6.4371257485029906E-2</v>
      </c>
      <c r="N75" s="4">
        <f>ROUND(D75/B75*100, 0)</f>
        <v>67</v>
      </c>
      <c r="O75" s="5">
        <f>AVERAGE($N$3:$N$102)</f>
        <v>36.97</v>
      </c>
      <c r="P75" s="4">
        <v>46</v>
      </c>
      <c r="Q75" s="4">
        <f>COUNTIF($P$3:$P$102, "&lt;="&amp;P75)/COUNT($P$3:$P$102)</f>
        <v>0.76</v>
      </c>
    </row>
    <row r="76" spans="1:17">
      <c r="A76" s="2" t="s">
        <v>105</v>
      </c>
      <c r="B76" s="2">
        <v>1000</v>
      </c>
      <c r="C76" s="2">
        <v>849</v>
      </c>
      <c r="D76" s="2">
        <v>151</v>
      </c>
      <c r="E76" s="2">
        <v>0</v>
      </c>
      <c r="F76" s="2">
        <v>12</v>
      </c>
      <c r="G76" s="2">
        <v>106</v>
      </c>
      <c r="H76" s="2">
        <v>42</v>
      </c>
      <c r="I76" s="2">
        <v>4</v>
      </c>
      <c r="J76" s="2">
        <v>1.19670200235571</v>
      </c>
      <c r="K76" s="2">
        <v>3.1059602649006601</v>
      </c>
      <c r="L76" s="2">
        <v>4.00471142520612E-2</v>
      </c>
      <c r="M76" s="2">
        <v>5.9602649006622502E-2</v>
      </c>
      <c r="N76" s="4">
        <f>ROUND(D76/B76*100, 0)</f>
        <v>15</v>
      </c>
      <c r="O76" s="5">
        <f>AVERAGE($N$3:$N$102)</f>
        <v>36.97</v>
      </c>
      <c r="P76" s="4">
        <v>46</v>
      </c>
      <c r="Q76" s="4">
        <f>COUNTIF($P$3:$P$102, "&lt;="&amp;P76)/COUNT($P$3:$P$102)</f>
        <v>0.76</v>
      </c>
    </row>
    <row r="77" spans="1:17">
      <c r="A77" s="2" t="s">
        <v>106</v>
      </c>
      <c r="B77" s="2">
        <v>426</v>
      </c>
      <c r="C77" s="2">
        <v>280</v>
      </c>
      <c r="D77" s="2">
        <v>146</v>
      </c>
      <c r="E77" s="2">
        <v>3</v>
      </c>
      <c r="F77" s="2">
        <v>74</v>
      </c>
      <c r="G77" s="2">
        <v>58</v>
      </c>
      <c r="H77" s="2">
        <v>83</v>
      </c>
      <c r="I77" s="2">
        <v>1</v>
      </c>
      <c r="J77" s="2">
        <v>13.0607142857142</v>
      </c>
      <c r="K77" s="2">
        <v>0.602739726027397</v>
      </c>
      <c r="L77" s="2">
        <v>0.14642857142857099</v>
      </c>
      <c r="M77" s="2">
        <v>4.7945205479451997E-2</v>
      </c>
      <c r="N77" s="4">
        <f>ROUND(D77/B77*100, 0)</f>
        <v>34</v>
      </c>
      <c r="O77" s="5">
        <f>AVERAGE($N$3:$N$102)</f>
        <v>36.97</v>
      </c>
      <c r="P77" s="4">
        <v>46</v>
      </c>
      <c r="Q77" s="4">
        <f>COUNTIF($P$3:$P$102, "&lt;="&amp;P77)/COUNT($P$3:$P$102)</f>
        <v>0.76</v>
      </c>
    </row>
    <row r="78" spans="1:17">
      <c r="A78" s="2" t="s">
        <v>107</v>
      </c>
      <c r="B78" s="2">
        <v>1000</v>
      </c>
      <c r="C78" s="2">
        <v>890</v>
      </c>
      <c r="D78" s="2">
        <v>110</v>
      </c>
      <c r="E78" s="2">
        <v>0</v>
      </c>
      <c r="F78" s="2">
        <v>10</v>
      </c>
      <c r="G78" s="2">
        <v>77</v>
      </c>
      <c r="H78" s="2">
        <v>33</v>
      </c>
      <c r="I78" s="2">
        <v>1</v>
      </c>
      <c r="J78" s="2">
        <v>3.5820224719101099</v>
      </c>
      <c r="K78" s="2">
        <v>0.12727272727272701</v>
      </c>
      <c r="L78" s="2">
        <v>2.5842696629213398E-2</v>
      </c>
      <c r="M78" s="2">
        <v>0</v>
      </c>
      <c r="N78" s="4">
        <f>ROUND(D78/B78*100, 0)</f>
        <v>11</v>
      </c>
      <c r="O78" s="5">
        <f>AVERAGE($N$3:$N$102)</f>
        <v>36.97</v>
      </c>
      <c r="P78" s="4">
        <v>46</v>
      </c>
      <c r="Q78" s="4">
        <f>COUNTIF($P$3:$P$102, "&lt;="&amp;P78)/COUNT($P$3:$P$102)</f>
        <v>0.76</v>
      </c>
    </row>
    <row r="79" spans="1:17">
      <c r="A79" s="2" t="s">
        <v>108</v>
      </c>
      <c r="B79" s="2">
        <v>1000</v>
      </c>
      <c r="C79" s="2">
        <v>700</v>
      </c>
      <c r="D79" s="2">
        <v>300</v>
      </c>
      <c r="E79" s="2">
        <v>0</v>
      </c>
      <c r="F79" s="2">
        <v>192</v>
      </c>
      <c r="G79" s="2">
        <v>83</v>
      </c>
      <c r="H79" s="2">
        <v>208</v>
      </c>
      <c r="I79" s="2">
        <v>0</v>
      </c>
      <c r="J79" s="2">
        <v>1.3457142857142801</v>
      </c>
      <c r="K79" s="2">
        <v>0.18</v>
      </c>
      <c r="L79" s="2">
        <v>0.27428571428571402</v>
      </c>
      <c r="M79" s="2">
        <v>6.6666666666666602E-3</v>
      </c>
      <c r="N79" s="4">
        <f>ROUND(D79/B79*100, 0)</f>
        <v>30</v>
      </c>
      <c r="O79" s="5">
        <f>AVERAGE($N$3:$N$102)</f>
        <v>36.97</v>
      </c>
      <c r="P79" s="4">
        <v>47</v>
      </c>
      <c r="Q79" s="4">
        <f>COUNTIF($P$3:$P$102, "&lt;="&amp;P79)/COUNT($P$3:$P$102)</f>
        <v>0.78</v>
      </c>
    </row>
    <row r="80" spans="1:17">
      <c r="A80" s="2" t="s">
        <v>109</v>
      </c>
      <c r="B80" s="2">
        <v>911</v>
      </c>
      <c r="C80" s="2">
        <v>757</v>
      </c>
      <c r="D80" s="2">
        <v>154</v>
      </c>
      <c r="E80" s="2">
        <v>1</v>
      </c>
      <c r="F80" s="2">
        <v>29</v>
      </c>
      <c r="G80" s="2">
        <v>63</v>
      </c>
      <c r="H80" s="2">
        <v>89</v>
      </c>
      <c r="I80" s="2">
        <v>4</v>
      </c>
      <c r="J80" s="2">
        <v>19.328929986789898</v>
      </c>
      <c r="K80" s="2">
        <v>0.123376623376623</v>
      </c>
      <c r="L80" s="2">
        <v>0.14134742404227199</v>
      </c>
      <c r="M80" s="2">
        <v>1.2987012987012899E-2</v>
      </c>
      <c r="N80" s="4">
        <f>ROUND(D80/B80*100, 0)</f>
        <v>17</v>
      </c>
      <c r="O80" s="5">
        <f>AVERAGE($N$3:$N$102)</f>
        <v>36.97</v>
      </c>
      <c r="P80" s="4">
        <v>47</v>
      </c>
      <c r="Q80" s="4">
        <f>COUNTIF($P$3:$P$102, "&lt;="&amp;P80)/COUNT($P$3:$P$102)</f>
        <v>0.78</v>
      </c>
    </row>
    <row r="81" spans="1:17">
      <c r="A81" s="2" t="s">
        <v>110</v>
      </c>
      <c r="B81" s="2">
        <v>1000</v>
      </c>
      <c r="C81" s="2">
        <v>876</v>
      </c>
      <c r="D81" s="2">
        <v>124</v>
      </c>
      <c r="E81" s="2">
        <v>0</v>
      </c>
      <c r="F81" s="2">
        <v>13</v>
      </c>
      <c r="G81" s="2">
        <v>94</v>
      </c>
      <c r="H81" s="2">
        <v>29</v>
      </c>
      <c r="I81" s="2">
        <v>1</v>
      </c>
      <c r="J81" s="2">
        <v>1.4018264840182599</v>
      </c>
      <c r="K81" s="2">
        <v>0.225806451612903</v>
      </c>
      <c r="L81" s="2">
        <v>2.3972602739725998E-2</v>
      </c>
      <c r="M81" s="2">
        <v>2.4193548387096701E-2</v>
      </c>
      <c r="N81" s="4">
        <f>ROUND(D81/B81*100, 0)</f>
        <v>12</v>
      </c>
      <c r="O81" s="5">
        <f>AVERAGE($N$3:$N$102)</f>
        <v>36.97</v>
      </c>
      <c r="P81" s="4">
        <v>50</v>
      </c>
      <c r="Q81" s="4">
        <f>COUNTIF($P$3:$P$102, "&lt;="&amp;P81)/COUNT($P$3:$P$102)</f>
        <v>0.79</v>
      </c>
    </row>
    <row r="82" spans="1:17">
      <c r="A82" s="2" t="s">
        <v>111</v>
      </c>
      <c r="B82" s="2">
        <v>817</v>
      </c>
      <c r="C82" s="2">
        <v>524</v>
      </c>
      <c r="D82" s="2">
        <v>293</v>
      </c>
      <c r="E82" s="2">
        <v>3</v>
      </c>
      <c r="F82" s="2">
        <v>162</v>
      </c>
      <c r="G82" s="2">
        <v>80</v>
      </c>
      <c r="H82" s="2">
        <v>194</v>
      </c>
      <c r="I82" s="2">
        <v>5</v>
      </c>
      <c r="J82" s="2">
        <v>7.1450381679389299</v>
      </c>
      <c r="K82" s="2">
        <v>1.37201365187713</v>
      </c>
      <c r="L82" s="2">
        <v>0.18320610687022901</v>
      </c>
      <c r="M82" s="2">
        <v>3.7542662116040897E-2</v>
      </c>
      <c r="N82" s="4">
        <f>ROUND(D82/B82*100, 0)</f>
        <v>36</v>
      </c>
      <c r="O82" s="5">
        <f>AVERAGE($N$3:$N$102)</f>
        <v>36.97</v>
      </c>
      <c r="P82" s="4">
        <v>51</v>
      </c>
      <c r="Q82" s="4">
        <f>COUNTIF($P$3:$P$102, "&lt;="&amp;P82)/COUNT($P$3:$P$102)</f>
        <v>0.8</v>
      </c>
    </row>
    <row r="83" spans="1:17">
      <c r="A83" s="2" t="s">
        <v>112</v>
      </c>
      <c r="B83" s="2">
        <v>288</v>
      </c>
      <c r="C83" s="2">
        <v>183</v>
      </c>
      <c r="D83" s="2">
        <v>105</v>
      </c>
      <c r="E83" s="2">
        <v>1</v>
      </c>
      <c r="F83" s="2">
        <v>38</v>
      </c>
      <c r="G83" s="2">
        <v>31</v>
      </c>
      <c r="H83" s="2">
        <v>71</v>
      </c>
      <c r="I83" s="2">
        <v>0</v>
      </c>
      <c r="J83" s="2">
        <v>2.2021857923497201</v>
      </c>
      <c r="K83" s="2">
        <v>0.18095238095238</v>
      </c>
      <c r="L83" s="2">
        <v>0.15846994535519099</v>
      </c>
      <c r="M83" s="2">
        <v>1.9047619047619001E-2</v>
      </c>
      <c r="N83" s="4">
        <f>ROUND(D83/B83*100, 0)</f>
        <v>36</v>
      </c>
      <c r="O83" s="5">
        <f>AVERAGE($N$3:$N$102)</f>
        <v>36.97</v>
      </c>
      <c r="P83" s="4">
        <v>52</v>
      </c>
      <c r="Q83" s="4">
        <f>COUNTIF($P$3:$P$102, "&lt;="&amp;P83)/COUNT($P$3:$P$102)</f>
        <v>0.81</v>
      </c>
    </row>
    <row r="84" spans="1:17">
      <c r="A84" s="2" t="s">
        <v>113</v>
      </c>
      <c r="B84" s="2">
        <v>168</v>
      </c>
      <c r="C84" s="2">
        <v>117</v>
      </c>
      <c r="D84" s="2">
        <v>51</v>
      </c>
      <c r="E84" s="2">
        <v>1</v>
      </c>
      <c r="F84" s="2">
        <v>25</v>
      </c>
      <c r="G84" s="2">
        <v>13</v>
      </c>
      <c r="H84" s="2">
        <v>34</v>
      </c>
      <c r="I84" s="2">
        <v>2</v>
      </c>
      <c r="J84" s="2">
        <v>4.0170940170940099</v>
      </c>
      <c r="K84" s="2">
        <v>0.84313725490196001</v>
      </c>
      <c r="L84" s="2">
        <v>0.256410256410256</v>
      </c>
      <c r="M84" s="2">
        <v>3.9215686274509803E-2</v>
      </c>
      <c r="N84" s="4">
        <f>ROUND(D84/B84*100, 0)</f>
        <v>30</v>
      </c>
      <c r="O84" s="5">
        <f>AVERAGE($N$3:$N$102)</f>
        <v>36.97</v>
      </c>
      <c r="P84" s="4">
        <v>53</v>
      </c>
      <c r="Q84" s="4">
        <f>COUNTIF($P$3:$P$102, "&lt;="&amp;P84)/COUNT($P$3:$P$102)</f>
        <v>0.84</v>
      </c>
    </row>
    <row r="85" spans="1:17">
      <c r="A85" s="2" t="s">
        <v>114</v>
      </c>
      <c r="B85" s="2">
        <v>94</v>
      </c>
      <c r="C85" s="2">
        <v>79</v>
      </c>
      <c r="D85" s="2">
        <v>15</v>
      </c>
      <c r="E85" s="2">
        <v>0</v>
      </c>
      <c r="F85" s="2">
        <v>3</v>
      </c>
      <c r="G85" s="2">
        <v>7</v>
      </c>
      <c r="H85" s="2">
        <v>8</v>
      </c>
      <c r="I85" s="2">
        <v>0</v>
      </c>
      <c r="J85" s="2">
        <v>3.45569620253164</v>
      </c>
      <c r="K85" s="2">
        <v>0.53333333333333299</v>
      </c>
      <c r="L85" s="2">
        <v>0.265822784810126</v>
      </c>
      <c r="M85" s="2">
        <v>0.33333333333333298</v>
      </c>
      <c r="N85" s="4">
        <f>ROUND(D85/B85*100, 0)</f>
        <v>16</v>
      </c>
      <c r="O85" s="5">
        <f>AVERAGE($N$3:$N$102)</f>
        <v>36.97</v>
      </c>
      <c r="P85" s="4">
        <v>53</v>
      </c>
      <c r="Q85" s="4">
        <f>COUNTIF($P$3:$P$102, "&lt;="&amp;P85)/COUNT($P$3:$P$102)</f>
        <v>0.84</v>
      </c>
    </row>
    <row r="86" spans="1:17">
      <c r="A86" s="2" t="s">
        <v>115</v>
      </c>
      <c r="B86" s="2">
        <v>1000</v>
      </c>
      <c r="C86" s="2">
        <v>845</v>
      </c>
      <c r="D86" s="2">
        <v>155</v>
      </c>
      <c r="E86" s="2">
        <v>0</v>
      </c>
      <c r="F86" s="2">
        <v>32</v>
      </c>
      <c r="G86" s="2">
        <v>95</v>
      </c>
      <c r="H86" s="2">
        <v>63</v>
      </c>
      <c r="I86" s="2">
        <v>1</v>
      </c>
      <c r="J86" s="2">
        <v>3.3668639053254399</v>
      </c>
      <c r="K86" s="2">
        <v>0.4</v>
      </c>
      <c r="L86" s="2">
        <v>5.3254437869822403E-2</v>
      </c>
      <c r="M86" s="2">
        <v>6.4516129032258004E-3</v>
      </c>
      <c r="N86" s="4">
        <f>ROUND(D86/B86*100, 0)</f>
        <v>16</v>
      </c>
      <c r="O86" s="5">
        <f>AVERAGE($N$3:$N$102)</f>
        <v>36.97</v>
      </c>
      <c r="P86" s="4">
        <v>53</v>
      </c>
      <c r="Q86" s="4">
        <f>COUNTIF($P$3:$P$102, "&lt;="&amp;P86)/COUNT($P$3:$P$102)</f>
        <v>0.84</v>
      </c>
    </row>
    <row r="87" spans="1:17">
      <c r="A87" s="2" t="s">
        <v>116</v>
      </c>
      <c r="B87" s="2">
        <v>1000</v>
      </c>
      <c r="C87" s="2">
        <v>682</v>
      </c>
      <c r="D87" s="2">
        <v>318</v>
      </c>
      <c r="E87" s="2">
        <v>1</v>
      </c>
      <c r="F87" s="2">
        <v>153</v>
      </c>
      <c r="G87" s="2">
        <v>84</v>
      </c>
      <c r="H87" s="2">
        <v>231</v>
      </c>
      <c r="I87" s="2">
        <v>0</v>
      </c>
      <c r="J87" s="2">
        <v>0.71700879765395897</v>
      </c>
      <c r="K87" s="2">
        <v>6.9182389937106903E-2</v>
      </c>
      <c r="L87" s="2">
        <v>1.7595307917888499E-2</v>
      </c>
      <c r="M87" s="2">
        <v>6.2893081761006197E-3</v>
      </c>
      <c r="N87" s="4">
        <f>ROUND(D87/B87*100, 0)</f>
        <v>32</v>
      </c>
      <c r="O87" s="5">
        <f>AVERAGE($N$3:$N$102)</f>
        <v>36.97</v>
      </c>
      <c r="P87" s="4">
        <v>54</v>
      </c>
      <c r="Q87" s="4">
        <f>COUNTIF($P$3:$P$102, "&lt;="&amp;P87)/COUNT($P$3:$P$102)</f>
        <v>0.86</v>
      </c>
    </row>
    <row r="88" spans="1:17">
      <c r="A88" s="2" t="s">
        <v>117</v>
      </c>
      <c r="B88" s="2">
        <v>1000</v>
      </c>
      <c r="C88" s="2">
        <v>439</v>
      </c>
      <c r="D88" s="2">
        <v>561</v>
      </c>
      <c r="E88" s="2">
        <v>2</v>
      </c>
      <c r="F88" s="2">
        <v>404</v>
      </c>
      <c r="G88" s="2">
        <v>91</v>
      </c>
      <c r="H88" s="2">
        <v>429</v>
      </c>
      <c r="I88" s="2">
        <v>1</v>
      </c>
      <c r="J88" s="2">
        <v>0.28246013667425901</v>
      </c>
      <c r="K88" s="2">
        <v>4.9910873440285199E-2</v>
      </c>
      <c r="L88" s="2">
        <v>2.0501138952163999E-2</v>
      </c>
      <c r="M88" s="2">
        <v>5.3475935828877002E-3</v>
      </c>
      <c r="N88" s="4">
        <f>ROUND(D88/B88*100, 0)</f>
        <v>56</v>
      </c>
      <c r="O88" s="5">
        <f>AVERAGE($N$3:$N$102)</f>
        <v>36.97</v>
      </c>
      <c r="P88" s="4">
        <v>54</v>
      </c>
      <c r="Q88" s="4">
        <f>COUNTIF($P$3:$P$102, "&lt;="&amp;P88)/COUNT($P$3:$P$102)</f>
        <v>0.86</v>
      </c>
    </row>
    <row r="89" spans="1:17">
      <c r="A89" s="2" t="s">
        <v>118</v>
      </c>
      <c r="B89" s="2">
        <v>324</v>
      </c>
      <c r="C89" s="2">
        <v>258</v>
      </c>
      <c r="D89" s="2">
        <v>66</v>
      </c>
      <c r="E89" s="2">
        <v>0</v>
      </c>
      <c r="F89" s="2">
        <v>43</v>
      </c>
      <c r="G89" s="2">
        <v>15</v>
      </c>
      <c r="H89" s="2">
        <v>50</v>
      </c>
      <c r="I89" s="2">
        <v>0</v>
      </c>
      <c r="J89" s="2">
        <v>11.852713178294501</v>
      </c>
      <c r="K89" s="2">
        <v>4.3636363636363598</v>
      </c>
      <c r="L89" s="2">
        <v>0.50387596899224796</v>
      </c>
      <c r="M89" s="2">
        <v>4.54545454545454E-2</v>
      </c>
      <c r="N89" s="4">
        <f>ROUND(D89/B89*100, 0)</f>
        <v>20</v>
      </c>
      <c r="O89" s="5">
        <f>AVERAGE($N$3:$N$102)</f>
        <v>36.97</v>
      </c>
      <c r="P89" s="4">
        <v>55</v>
      </c>
      <c r="Q89" s="4">
        <f>COUNTIF($P$3:$P$102, "&lt;="&amp;P89)/COUNT($P$3:$P$102)</f>
        <v>0.88</v>
      </c>
    </row>
    <row r="90" spans="1:17">
      <c r="A90" s="2" t="s">
        <v>119</v>
      </c>
      <c r="B90" s="2">
        <v>1000</v>
      </c>
      <c r="C90" s="2">
        <v>539</v>
      </c>
      <c r="D90" s="2">
        <v>461</v>
      </c>
      <c r="E90" s="2">
        <v>1</v>
      </c>
      <c r="F90" s="2">
        <v>281</v>
      </c>
      <c r="G90" s="2">
        <v>137</v>
      </c>
      <c r="H90" s="2">
        <v>312</v>
      </c>
      <c r="I90" s="2">
        <v>3</v>
      </c>
      <c r="J90" s="2">
        <v>24.846011131725401</v>
      </c>
      <c r="K90" s="2">
        <v>0.108459869848156</v>
      </c>
      <c r="L90" s="2">
        <v>0.662337662337662</v>
      </c>
      <c r="M90" s="2">
        <v>4.3383947939262396E-3</v>
      </c>
      <c r="N90" s="4">
        <f>ROUND(D90/B90*100, 0)</f>
        <v>46</v>
      </c>
      <c r="O90" s="5">
        <f>AVERAGE($N$3:$N$102)</f>
        <v>36.97</v>
      </c>
      <c r="P90" s="4">
        <v>55</v>
      </c>
      <c r="Q90" s="4">
        <f>COUNTIF($P$3:$P$102, "&lt;="&amp;P90)/COUNT($P$3:$P$102)</f>
        <v>0.88</v>
      </c>
    </row>
    <row r="91" spans="1:17">
      <c r="A91" s="2" t="s">
        <v>120</v>
      </c>
      <c r="B91" s="2">
        <v>177</v>
      </c>
      <c r="C91" s="2">
        <v>135</v>
      </c>
      <c r="D91" s="2">
        <v>42</v>
      </c>
      <c r="E91" s="2">
        <v>0</v>
      </c>
      <c r="F91" s="2">
        <v>18</v>
      </c>
      <c r="G91" s="2">
        <v>18</v>
      </c>
      <c r="H91" s="2">
        <v>25</v>
      </c>
      <c r="I91" s="2">
        <v>1</v>
      </c>
      <c r="J91" s="2">
        <v>1.1629629629629601</v>
      </c>
      <c r="K91" s="2">
        <v>0.54761904761904701</v>
      </c>
      <c r="L91" s="2">
        <v>0.51111111111111096</v>
      </c>
      <c r="M91" s="2">
        <v>7.1428571428571397E-2</v>
      </c>
      <c r="N91" s="4">
        <f>ROUND(D91/B91*100, 0)</f>
        <v>24</v>
      </c>
      <c r="O91" s="5">
        <f>AVERAGE($N$3:$N$102)</f>
        <v>36.97</v>
      </c>
      <c r="P91" s="4">
        <v>56</v>
      </c>
      <c r="Q91" s="4">
        <f>COUNTIF($P$3:$P$102, "&lt;="&amp;P91)/COUNT($P$3:$P$102)</f>
        <v>0.89</v>
      </c>
    </row>
    <row r="92" spans="1:17">
      <c r="A92" s="2" t="s">
        <v>121</v>
      </c>
      <c r="B92" s="2">
        <v>1000</v>
      </c>
      <c r="C92" s="2">
        <v>543</v>
      </c>
      <c r="D92" s="2">
        <v>457</v>
      </c>
      <c r="E92" s="2">
        <v>5</v>
      </c>
      <c r="F92" s="2">
        <v>263</v>
      </c>
      <c r="G92" s="2">
        <v>118</v>
      </c>
      <c r="H92" s="2">
        <v>331</v>
      </c>
      <c r="I92" s="2">
        <v>2</v>
      </c>
      <c r="J92" s="2">
        <v>3.5359116022099402</v>
      </c>
      <c r="K92" s="2">
        <v>7.0021881838074396E-2</v>
      </c>
      <c r="L92" s="2">
        <v>5.70902394106814E-2</v>
      </c>
      <c r="M92" s="2">
        <v>0</v>
      </c>
      <c r="N92" s="4">
        <f>ROUND(D92/B92*100, 0)</f>
        <v>46</v>
      </c>
      <c r="O92" s="5">
        <f>AVERAGE($N$3:$N$102)</f>
        <v>36.97</v>
      </c>
      <c r="P92" s="4">
        <v>57</v>
      </c>
      <c r="Q92" s="4">
        <f>COUNTIF($P$3:$P$102, "&lt;="&amp;P92)/COUNT($P$3:$P$102)</f>
        <v>0.9</v>
      </c>
    </row>
    <row r="93" spans="1:17">
      <c r="A93" s="2" t="s">
        <v>122</v>
      </c>
      <c r="B93" s="2">
        <v>164</v>
      </c>
      <c r="C93" s="2">
        <v>106</v>
      </c>
      <c r="D93" s="2">
        <v>58</v>
      </c>
      <c r="E93" s="2">
        <v>0</v>
      </c>
      <c r="F93" s="2">
        <v>21</v>
      </c>
      <c r="G93" s="2">
        <v>26</v>
      </c>
      <c r="H93" s="2">
        <v>29</v>
      </c>
      <c r="I93" s="2">
        <v>2</v>
      </c>
      <c r="J93" s="2">
        <v>16.6132075471698</v>
      </c>
      <c r="K93" s="2">
        <v>0.568965517241379</v>
      </c>
      <c r="L93" s="2">
        <v>0.65094339622641495</v>
      </c>
      <c r="M93" s="2">
        <v>6.8965517241379296E-2</v>
      </c>
      <c r="N93" s="4">
        <f>ROUND(D93/B93*100, 0)</f>
        <v>35</v>
      </c>
      <c r="O93" s="5">
        <f>AVERAGE($N$3:$N$102)</f>
        <v>36.97</v>
      </c>
      <c r="P93" s="4">
        <v>64</v>
      </c>
      <c r="Q93" s="4">
        <f>COUNTIF($P$3:$P$102, "&lt;="&amp;P93)/COUNT($P$3:$P$102)</f>
        <v>0.92</v>
      </c>
    </row>
    <row r="94" spans="1:17">
      <c r="A94" s="2" t="s">
        <v>123</v>
      </c>
      <c r="B94" s="2">
        <v>150</v>
      </c>
      <c r="C94" s="2">
        <v>81</v>
      </c>
      <c r="D94" s="2">
        <v>69</v>
      </c>
      <c r="E94" s="2">
        <v>0</v>
      </c>
      <c r="F94" s="2">
        <v>23</v>
      </c>
      <c r="G94" s="2">
        <v>34</v>
      </c>
      <c r="H94" s="2">
        <v>36</v>
      </c>
      <c r="I94" s="2">
        <v>3</v>
      </c>
      <c r="J94" s="2">
        <v>7.0493827160493803</v>
      </c>
      <c r="K94" s="2">
        <v>0.88405797101449202</v>
      </c>
      <c r="L94" s="2">
        <v>0.30864197530864101</v>
      </c>
      <c r="M94" s="2">
        <v>8.6956521739130405E-2</v>
      </c>
      <c r="N94" s="4">
        <f>ROUND(D94/B94*100, 0)</f>
        <v>46</v>
      </c>
      <c r="O94" s="5">
        <f>AVERAGE($N$3:$N$102)</f>
        <v>36.97</v>
      </c>
      <c r="P94" s="4">
        <v>64</v>
      </c>
      <c r="Q94" s="4">
        <f>COUNTIF($P$3:$P$102, "&lt;="&amp;P94)/COUNT($P$3:$P$102)</f>
        <v>0.92</v>
      </c>
    </row>
    <row r="95" spans="1:17">
      <c r="A95" s="2" t="s">
        <v>124</v>
      </c>
      <c r="B95" s="2">
        <v>1000</v>
      </c>
      <c r="C95" s="2">
        <v>824</v>
      </c>
      <c r="D95" s="2">
        <v>176</v>
      </c>
      <c r="E95" s="2">
        <v>14</v>
      </c>
      <c r="F95" s="2">
        <v>34</v>
      </c>
      <c r="G95" s="2">
        <v>102</v>
      </c>
      <c r="H95" s="2">
        <v>55</v>
      </c>
      <c r="I95" s="2">
        <v>0</v>
      </c>
      <c r="J95" s="2">
        <v>1.31432038834951</v>
      </c>
      <c r="K95" s="2">
        <v>0.32954545454545398</v>
      </c>
      <c r="L95" s="2">
        <v>9.4660194174757198E-2</v>
      </c>
      <c r="M95" s="2">
        <v>7.9545454545454503E-2</v>
      </c>
      <c r="N95" s="4">
        <f>ROUND(D95/B95*100, 0)</f>
        <v>18</v>
      </c>
      <c r="O95" s="5">
        <f>AVERAGE($N$3:$N$102)</f>
        <v>36.97</v>
      </c>
      <c r="P95" s="4">
        <v>65</v>
      </c>
      <c r="Q95" s="4">
        <f>COUNTIF($P$3:$P$102, "&lt;="&amp;P95)/COUNT($P$3:$P$102)</f>
        <v>0.94</v>
      </c>
    </row>
    <row r="96" spans="1:17">
      <c r="A96" s="2" t="s">
        <v>125</v>
      </c>
      <c r="B96" s="2">
        <v>387</v>
      </c>
      <c r="C96" s="2">
        <v>58</v>
      </c>
      <c r="D96" s="2">
        <v>329</v>
      </c>
      <c r="E96" s="2">
        <v>63</v>
      </c>
      <c r="F96" s="2">
        <v>159</v>
      </c>
      <c r="G96" s="2">
        <v>27</v>
      </c>
      <c r="H96" s="2">
        <v>234</v>
      </c>
      <c r="I96" s="2">
        <v>1</v>
      </c>
      <c r="J96" s="2">
        <v>0.18965517241379301</v>
      </c>
      <c r="K96" s="2">
        <v>0.46504559270516699</v>
      </c>
      <c r="L96" s="2">
        <v>6.8965517241379296E-2</v>
      </c>
      <c r="M96" s="2">
        <v>0.133738601823708</v>
      </c>
      <c r="N96" s="4">
        <f>ROUND(D96/B96*100, 0)</f>
        <v>85</v>
      </c>
      <c r="O96" s="5">
        <f>AVERAGE($N$3:$N$102)</f>
        <v>36.97</v>
      </c>
      <c r="P96" s="4">
        <v>65</v>
      </c>
      <c r="Q96" s="4">
        <f>COUNTIF($P$3:$P$102, "&lt;="&amp;P96)/COUNT($P$3:$P$102)</f>
        <v>0.94</v>
      </c>
    </row>
    <row r="97" spans="1:17">
      <c r="A97" s="2" t="s">
        <v>126</v>
      </c>
      <c r="B97" s="2">
        <v>1000</v>
      </c>
      <c r="C97" s="2">
        <v>766</v>
      </c>
      <c r="D97" s="2">
        <v>234</v>
      </c>
      <c r="E97" s="2">
        <v>4</v>
      </c>
      <c r="F97" s="2">
        <v>49</v>
      </c>
      <c r="G97" s="2">
        <v>164</v>
      </c>
      <c r="H97" s="2">
        <v>65</v>
      </c>
      <c r="I97" s="2">
        <v>1</v>
      </c>
      <c r="J97" s="2">
        <v>34.281984334203599</v>
      </c>
      <c r="K97" s="2">
        <v>52.119658119658098</v>
      </c>
      <c r="L97" s="2">
        <v>0.14751958224542999</v>
      </c>
      <c r="M97" s="2">
        <v>3.4188034188034101E-2</v>
      </c>
      <c r="N97" s="4">
        <f>ROUND(D97/B97*100, 0)</f>
        <v>23</v>
      </c>
      <c r="O97" s="5">
        <f>AVERAGE($N$3:$N$102)</f>
        <v>36.97</v>
      </c>
      <c r="P97" s="4">
        <v>67</v>
      </c>
      <c r="Q97" s="4">
        <f>COUNTIF($P$3:$P$102, "&lt;="&amp;P97)/COUNT($P$3:$P$102)</f>
        <v>0.95</v>
      </c>
    </row>
    <row r="98" spans="1:17">
      <c r="A98" s="2" t="s">
        <v>127</v>
      </c>
      <c r="B98" s="2">
        <v>136</v>
      </c>
      <c r="C98" s="2">
        <v>85</v>
      </c>
      <c r="D98" s="2">
        <v>51</v>
      </c>
      <c r="E98" s="2">
        <v>0</v>
      </c>
      <c r="F98" s="2">
        <v>38</v>
      </c>
      <c r="G98" s="2">
        <v>12</v>
      </c>
      <c r="H98" s="2">
        <v>36</v>
      </c>
      <c r="I98" s="2">
        <v>0</v>
      </c>
      <c r="J98" s="2">
        <v>1.45882352941176</v>
      </c>
      <c r="K98" s="2">
        <v>0.98039215686274495</v>
      </c>
      <c r="L98" s="2">
        <v>0.14117647058823499</v>
      </c>
      <c r="M98" s="2">
        <v>3.9215686274509803E-2</v>
      </c>
      <c r="N98" s="4">
        <f>ROUND(D98/B98*100, 0)</f>
        <v>38</v>
      </c>
      <c r="O98" s="5">
        <f>AVERAGE($N$3:$N$102)</f>
        <v>36.97</v>
      </c>
      <c r="P98" s="4">
        <v>68</v>
      </c>
      <c r="Q98" s="4">
        <f>COUNTIF($P$3:$P$102, "&lt;="&amp;P98)/COUNT($P$3:$P$102)</f>
        <v>0.96</v>
      </c>
    </row>
    <row r="99" spans="1:17">
      <c r="A99" s="2" t="s">
        <v>128</v>
      </c>
      <c r="B99" s="2">
        <v>850</v>
      </c>
      <c r="C99" s="2">
        <v>585</v>
      </c>
      <c r="D99" s="2">
        <v>265</v>
      </c>
      <c r="E99" s="2">
        <v>0</v>
      </c>
      <c r="F99" s="2">
        <v>115</v>
      </c>
      <c r="G99" s="2">
        <v>73</v>
      </c>
      <c r="H99" s="2">
        <v>173</v>
      </c>
      <c r="I99" s="2">
        <v>23</v>
      </c>
      <c r="J99" s="2">
        <v>0.53675213675213596</v>
      </c>
      <c r="K99" s="2">
        <v>0.48301886792452797</v>
      </c>
      <c r="L99" s="2">
        <v>0.15897435897435799</v>
      </c>
      <c r="M99" s="2">
        <v>7.5471698113207503E-2</v>
      </c>
      <c r="N99" s="4">
        <f>ROUND(D99/B99*100, 0)</f>
        <v>31</v>
      </c>
      <c r="O99" s="5">
        <f>AVERAGE($N$3:$N$102)</f>
        <v>36.97</v>
      </c>
      <c r="P99" s="4">
        <v>71</v>
      </c>
      <c r="Q99" s="4">
        <f>COUNTIF($P$3:$P$102, "&lt;="&amp;P99)/COUNT($P$3:$P$102)</f>
        <v>0.97</v>
      </c>
    </row>
    <row r="100" spans="1:17">
      <c r="A100" s="2" t="s">
        <v>129</v>
      </c>
      <c r="B100" s="2">
        <v>367</v>
      </c>
      <c r="C100" s="2">
        <v>198</v>
      </c>
      <c r="D100" s="2">
        <v>169</v>
      </c>
      <c r="E100" s="2">
        <v>0</v>
      </c>
      <c r="F100" s="2">
        <v>88</v>
      </c>
      <c r="G100" s="2">
        <v>36</v>
      </c>
      <c r="H100" s="2">
        <v>124</v>
      </c>
      <c r="I100" s="2">
        <v>0</v>
      </c>
      <c r="J100" s="2">
        <v>0.69191919191919105</v>
      </c>
      <c r="K100" s="2">
        <v>0.13609467455621299</v>
      </c>
      <c r="L100" s="2">
        <v>0.19191919191919099</v>
      </c>
      <c r="M100" s="2">
        <v>0</v>
      </c>
      <c r="N100" s="4">
        <f>ROUND(D100/B100*100, 0)</f>
        <v>46</v>
      </c>
      <c r="O100" s="5">
        <f>AVERAGE($N$3:$N$102)</f>
        <v>36.97</v>
      </c>
      <c r="P100" s="4">
        <v>80</v>
      </c>
      <c r="Q100" s="4">
        <f>COUNTIF($P$3:$P$102, "&lt;="&amp;P100)/COUNT($P$3:$P$102)</f>
        <v>0.98</v>
      </c>
    </row>
    <row r="101" spans="1:17">
      <c r="A101" s="2" t="s">
        <v>130</v>
      </c>
      <c r="B101" s="2">
        <v>340</v>
      </c>
      <c r="C101" s="2">
        <v>154</v>
      </c>
      <c r="D101" s="2">
        <v>186</v>
      </c>
      <c r="E101" s="2">
        <v>0</v>
      </c>
      <c r="F101" s="2">
        <v>153</v>
      </c>
      <c r="G101" s="2">
        <v>20</v>
      </c>
      <c r="H101" s="2">
        <v>143</v>
      </c>
      <c r="I101" s="2">
        <v>1</v>
      </c>
      <c r="J101" s="2">
        <v>5.5</v>
      </c>
      <c r="K101" s="2">
        <v>2.9354838709677402</v>
      </c>
      <c r="L101" s="2">
        <v>0.26623376623376599</v>
      </c>
      <c r="M101" s="2">
        <v>0.16666666666666599</v>
      </c>
      <c r="N101" s="4">
        <f>ROUND(D101/B101*100, 0)</f>
        <v>55</v>
      </c>
      <c r="O101" s="5">
        <f>AVERAGE($N$3:$N$102)</f>
        <v>36.97</v>
      </c>
      <c r="P101" s="4">
        <v>83</v>
      </c>
      <c r="Q101" s="4">
        <f>COUNTIF($P$3:$P$102, "&lt;="&amp;P101)/COUNT($P$3:$P$102)</f>
        <v>0.99</v>
      </c>
    </row>
    <row r="102" spans="1:17">
      <c r="A102" s="2" t="s">
        <v>131</v>
      </c>
      <c r="B102" s="2">
        <v>1000</v>
      </c>
      <c r="C102" s="2">
        <v>704</v>
      </c>
      <c r="D102" s="2">
        <v>296</v>
      </c>
      <c r="E102" s="2">
        <v>1</v>
      </c>
      <c r="F102" s="2">
        <v>171</v>
      </c>
      <c r="G102" s="2">
        <v>97</v>
      </c>
      <c r="H102" s="2">
        <v>169</v>
      </c>
      <c r="I102" s="2">
        <v>8</v>
      </c>
      <c r="J102" s="2">
        <v>0.95028409090909005</v>
      </c>
      <c r="K102" s="2">
        <v>6.7567567567567502E-2</v>
      </c>
      <c r="L102" s="2">
        <v>3.5511363636363598E-2</v>
      </c>
      <c r="M102" s="2">
        <v>3.3783783783783699E-3</v>
      </c>
      <c r="N102" s="4">
        <f>ROUND(D102/B102*100, 0)</f>
        <v>30</v>
      </c>
      <c r="O102" s="5">
        <f>AVERAGE($N$3:$N$102)</f>
        <v>36.97</v>
      </c>
      <c r="P102" s="4">
        <v>85</v>
      </c>
      <c r="Q102" s="4">
        <f>COUNTIF($P$3:$P$102, "&lt;="&amp;P102)/COUNT($P$3:$P$102)</f>
        <v>1</v>
      </c>
    </row>
    <row r="103" spans="1:17">
      <c r="N103" s="4"/>
      <c r="O103" s="4"/>
      <c r="P103" s="4"/>
      <c r="Q103" s="4"/>
    </row>
    <row r="106" spans="1:17">
      <c r="J106" s="2" t="s">
        <v>132</v>
      </c>
      <c r="K106" s="2" t="s">
        <v>133</v>
      </c>
      <c r="L106" s="2" t="s">
        <v>134</v>
      </c>
    </row>
    <row r="107" spans="1:17">
      <c r="J107" s="2">
        <f>AVERAGE(J3:J102)</f>
        <v>4.3279866067491444</v>
      </c>
      <c r="K107" s="2">
        <f>AVERAGE(K3:K102)</f>
        <v>1.3068920766490435</v>
      </c>
      <c r="L107" s="2">
        <f>100-(K107/J107*100)</f>
        <v>69.803694063862139</v>
      </c>
    </row>
    <row r="108" spans="1:17">
      <c r="J108" s="2">
        <f>ROUND(AVERAGE(J107:K107),2)</f>
        <v>2.82</v>
      </c>
      <c r="K108" s="2">
        <f>ROUND(AVERAGE(J107:K107),2)</f>
        <v>2.82</v>
      </c>
    </row>
    <row r="111" spans="1:17">
      <c r="J111" s="2" t="s">
        <v>132</v>
      </c>
      <c r="K111" s="2" t="s">
        <v>133</v>
      </c>
      <c r="L111" s="2" t="s">
        <v>134</v>
      </c>
    </row>
    <row r="112" spans="1:17">
      <c r="J112" s="2">
        <f>AVERAGE(L3:L102)</f>
        <v>0.25419649815885015</v>
      </c>
      <c r="K112" s="2">
        <f>AVERAGE(M3:M102)</f>
        <v>6.7857432167624271E-2</v>
      </c>
      <c r="L112" s="2">
        <f>100-(K112/J112*100)</f>
        <v>73.305127073300824</v>
      </c>
    </row>
    <row r="113" spans="10:16">
      <c r="J113" s="2">
        <f>ROUND(AVERAGE(J112:K112),2)</f>
        <v>0.16</v>
      </c>
      <c r="K113" s="2">
        <f>ROUND(AVERAGE(J112:K112),2)</f>
        <v>0.16</v>
      </c>
    </row>
    <row r="116" spans="10:16">
      <c r="J116" s="2" t="s">
        <v>135</v>
      </c>
      <c r="K116" s="2" t="s">
        <v>136</v>
      </c>
      <c r="L116" s="2" t="s">
        <v>137</v>
      </c>
      <c r="M116" s="2" t="s">
        <v>138</v>
      </c>
      <c r="N116" s="2" t="s">
        <v>133</v>
      </c>
      <c r="O116" s="2" t="s">
        <v>132</v>
      </c>
      <c r="P116" s="2" t="s">
        <v>139</v>
      </c>
    </row>
    <row r="117" spans="10:16">
      <c r="J117" s="2">
        <f>SUM(E3:E102)</f>
        <v>345</v>
      </c>
      <c r="K117" s="2">
        <f>SUM(G3:G102)</f>
        <v>6405</v>
      </c>
      <c r="L117" s="2">
        <f>SUM(F3:F102)</f>
        <v>12349</v>
      </c>
      <c r="M117" s="2">
        <f>SUM(H3:H102)</f>
        <v>16025</v>
      </c>
      <c r="N117" s="2">
        <f>SUM(D3:D102)</f>
        <v>23862</v>
      </c>
      <c r="O117" s="2">
        <f>SUM(C3:C102)</f>
        <v>42102</v>
      </c>
      <c r="P117" s="2">
        <f>SUM(B3:B102)</f>
        <v>65964</v>
      </c>
    </row>
    <row r="137" spans="6:6" ht="15" customHeight="1">
      <c r="F137" s="3"/>
    </row>
  </sheetData>
  <sortState xmlns:xlrd2="http://schemas.microsoft.com/office/spreadsheetml/2017/richdata2" ref="P3:P102">
    <sortCondition ref="P3:P102"/>
  </sortState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5B19-B464-4A15-A87F-A2BF2A2C8C09}">
  <dimension ref="A1:M1"/>
  <sheetViews>
    <sheetView workbookViewId="0">
      <selection activeCell="N1" sqref="N1"/>
    </sheetView>
  </sheetViews>
  <sheetFormatPr defaultRowHeight="15"/>
  <cols>
    <col min="1" max="1" width="7.85546875" bestFit="1" customWidth="1"/>
    <col min="2" max="2" width="15" bestFit="1" customWidth="1"/>
    <col min="3" max="3" width="15.28515625" bestFit="1" customWidth="1"/>
    <col min="4" max="4" width="15.5703125" bestFit="1" customWidth="1"/>
    <col min="5" max="5" width="5.85546875" bestFit="1" customWidth="1"/>
    <col min="6" max="6" width="11.7109375" bestFit="1" customWidth="1"/>
    <col min="7" max="7" width="9.42578125" bestFit="1" customWidth="1"/>
    <col min="8" max="8" width="5.5703125" bestFit="1" customWidth="1"/>
    <col min="9" max="9" width="16.42578125" bestFit="1" customWidth="1"/>
    <col min="10" max="10" width="19.42578125" bestFit="1" customWidth="1"/>
    <col min="11" max="11" width="21.5703125" bestFit="1" customWidth="1"/>
    <col min="12" max="12" width="20" customWidth="1"/>
    <col min="13" max="13" width="14.42578125" bestFit="1" customWidth="1"/>
  </cols>
  <sheetData>
    <row r="1" spans="1:13">
      <c r="A1" s="1" t="s">
        <v>17</v>
      </c>
      <c r="B1" s="1" t="s">
        <v>140</v>
      </c>
      <c r="C1" s="1" t="s">
        <v>141</v>
      </c>
      <c r="D1" s="1" t="s">
        <v>142</v>
      </c>
      <c r="E1" s="1" t="s">
        <v>135</v>
      </c>
      <c r="F1" s="1" t="s">
        <v>143</v>
      </c>
      <c r="G1" s="1" t="s">
        <v>136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4BFD33101734EADB1A8B8A915E17A" ma:contentTypeVersion="5" ma:contentTypeDescription="Create a new document." ma:contentTypeScope="" ma:versionID="e88383c67720d9a09adb9b5af1812e58">
  <xsd:schema xmlns:xsd="http://www.w3.org/2001/XMLSchema" xmlns:xs="http://www.w3.org/2001/XMLSchema" xmlns:p="http://schemas.microsoft.com/office/2006/metadata/properties" xmlns:ns3="6df96fe8-5dfe-4f39-9a32-873f96719dc4" targetNamespace="http://schemas.microsoft.com/office/2006/metadata/properties" ma:root="true" ma:fieldsID="1feae88448b2fa2eb28314e38acdb835" ns3:_="">
    <xsd:import namespace="6df96fe8-5dfe-4f39-9a32-873f96719dc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f96fe8-5dfe-4f39-9a32-873f96719dc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f96fe8-5dfe-4f39-9a32-873f96719dc4" xsi:nil="true"/>
  </documentManagement>
</p:properties>
</file>

<file path=customXml/itemProps1.xml><?xml version="1.0" encoding="utf-8"?>
<ds:datastoreItem xmlns:ds="http://schemas.openxmlformats.org/officeDocument/2006/customXml" ds:itemID="{B041332C-0E8B-49D3-A9A3-4A4DED88AFA7}"/>
</file>

<file path=customXml/itemProps2.xml><?xml version="1.0" encoding="utf-8"?>
<ds:datastoreItem xmlns:ds="http://schemas.openxmlformats.org/officeDocument/2006/customXml" ds:itemID="{DC5E102F-5502-4BE7-8413-3925F9356F89}"/>
</file>

<file path=customXml/itemProps3.xml><?xml version="1.0" encoding="utf-8"?>
<ds:datastoreItem xmlns:ds="http://schemas.openxmlformats.org/officeDocument/2006/customXml" ds:itemID="{9F06877F-94CD-409D-AF8F-1B1425BBD81E}"/>
</file>

<file path=customXml/itemProps4.xml><?xml version="1.0" encoding="utf-8"?>
<ds:datastoreItem xmlns:ds="http://schemas.openxmlformats.org/officeDocument/2006/customXml" ds:itemID="{6C0B6759-8D2D-4056-ABC8-CCEDB85A29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Jonas Kirkilovskis</dc:creator>
  <cp:keywords/>
  <dc:description/>
  <cp:lastModifiedBy/>
  <cp:revision/>
  <dcterms:created xsi:type="dcterms:W3CDTF">2025-12-07T11:43:47Z</dcterms:created>
  <dcterms:modified xsi:type="dcterms:W3CDTF">2025-12-10T21:59:18Z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0x0101003354BFD33101734EADB1A8B8A915E17A</vt:lpwstr>
  </property>
</Properties>
</file>